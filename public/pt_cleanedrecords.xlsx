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PT Projects\power-pipeline-dashboard\public\"/>
    </mc:Choice>
  </mc:AlternateContent>
  <xr:revisionPtr revIDLastSave="0" documentId="13_ncr:1_{DDE763EF-0DBF-4389-876A-2EEDBC62DD8F}" xr6:coauthVersionLast="47" xr6:coauthVersionMax="47" xr10:uidLastSave="{00000000-0000-0000-0000-000000000000}"/>
  <bookViews>
    <workbookView xWindow="-110" yWindow="-110" windowWidth="19420" windowHeight="11500" xr2:uid="{816DE86C-1293-4951-B1D8-131009567FC4}"/>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2" i="1" l="1"/>
  <c r="AJ42" i="1"/>
  <c r="AI42" i="1"/>
  <c r="AK41" i="1"/>
  <c r="AJ41" i="1"/>
  <c r="AI41" i="1"/>
  <c r="AK40" i="1"/>
  <c r="AJ40" i="1"/>
  <c r="AI40" i="1"/>
  <c r="AK39" i="1"/>
  <c r="AJ39" i="1"/>
  <c r="AI39" i="1"/>
  <c r="AK38" i="1"/>
  <c r="AI38" i="1"/>
  <c r="AK37" i="1"/>
  <c r="AJ37" i="1"/>
  <c r="AI37" i="1"/>
  <c r="AK36" i="1"/>
  <c r="AJ36" i="1"/>
  <c r="AK35" i="1"/>
  <c r="AJ35" i="1"/>
  <c r="AI35" i="1"/>
  <c r="AK34" i="1"/>
  <c r="AJ34" i="1"/>
  <c r="AI34" i="1"/>
  <c r="AK33" i="1"/>
  <c r="AJ33" i="1"/>
  <c r="AI33" i="1"/>
  <c r="AK32" i="1"/>
  <c r="AJ32" i="1"/>
  <c r="AI32" i="1"/>
  <c r="AK31" i="1"/>
  <c r="AJ31" i="1"/>
  <c r="AI31" i="1"/>
  <c r="AK30" i="1"/>
  <c r="AJ30" i="1"/>
  <c r="AI30" i="1"/>
  <c r="AK29" i="1"/>
  <c r="AJ29" i="1"/>
  <c r="AI29" i="1"/>
  <c r="AK28" i="1"/>
  <c r="AJ28" i="1"/>
  <c r="AI28" i="1"/>
  <c r="AK27" i="1"/>
  <c r="AJ27" i="1"/>
  <c r="AI27" i="1"/>
  <c r="AK26" i="1"/>
  <c r="AJ26" i="1"/>
  <c r="AI26" i="1"/>
  <c r="AK25" i="1"/>
  <c r="AJ25" i="1"/>
  <c r="AI25" i="1"/>
  <c r="AK24" i="1"/>
  <c r="AJ24" i="1"/>
  <c r="AI24" i="1"/>
  <c r="AK23" i="1"/>
  <c r="AJ23" i="1"/>
  <c r="AI23" i="1"/>
  <c r="AK22" i="1"/>
  <c r="AJ22" i="1"/>
  <c r="AI22" i="1"/>
  <c r="AK21" i="1"/>
  <c r="AJ21" i="1"/>
  <c r="AI21" i="1"/>
  <c r="AK20" i="1"/>
  <c r="AJ20" i="1"/>
  <c r="AI20" i="1"/>
  <c r="AK19" i="1"/>
  <c r="AJ19" i="1"/>
  <c r="AI19" i="1"/>
  <c r="AK18" i="1"/>
  <c r="AJ18" i="1"/>
  <c r="AI18" i="1"/>
  <c r="AK17" i="1"/>
  <c r="AJ17" i="1"/>
  <c r="AI17" i="1"/>
  <c r="AK16" i="1"/>
  <c r="AJ16" i="1"/>
  <c r="AI16" i="1"/>
  <c r="AK15" i="1"/>
  <c r="AJ15" i="1"/>
  <c r="AI15" i="1"/>
  <c r="AK14" i="1"/>
  <c r="AJ14" i="1"/>
  <c r="AI14" i="1"/>
  <c r="AK13" i="1"/>
  <c r="AJ13" i="1"/>
  <c r="AI13" i="1"/>
  <c r="AO12" i="1"/>
  <c r="AK12" i="1"/>
  <c r="AJ12" i="1"/>
  <c r="AI12" i="1"/>
  <c r="AK11" i="1"/>
  <c r="AJ11" i="1"/>
  <c r="AI11" i="1"/>
  <c r="AK10" i="1"/>
  <c r="AJ10" i="1"/>
  <c r="AI10" i="1"/>
  <c r="AK9" i="1"/>
  <c r="AJ9" i="1"/>
  <c r="AI9" i="1"/>
  <c r="AK8" i="1"/>
  <c r="AJ8" i="1"/>
  <c r="AI8" i="1"/>
  <c r="AK7" i="1"/>
  <c r="AJ7" i="1"/>
  <c r="AI7" i="1"/>
  <c r="AK6" i="1"/>
  <c r="AJ6" i="1"/>
  <c r="AI6" i="1"/>
  <c r="AK5" i="1"/>
  <c r="AJ5" i="1"/>
  <c r="AI5" i="1"/>
  <c r="AK4" i="1"/>
  <c r="AJ4" i="1"/>
  <c r="AI4" i="1"/>
  <c r="AK3" i="1"/>
  <c r="AJ3" i="1"/>
  <c r="AI3" i="1"/>
  <c r="AK2" i="1"/>
  <c r="AJ2" i="1"/>
  <c r="AI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Darian King</author>
  </authors>
  <commentList>
    <comment ref="Q32" authorId="0" shapeId="0" xr:uid="{38D8124A-F218-4290-8FB9-08D06848F746}">
      <text>
        <r>
          <rPr>
            <b/>
            <sz val="9"/>
            <color rgb="FF000000"/>
            <rFont val="Tahoma"/>
            <family val="2"/>
          </rPr>
          <t>Darian King:</t>
        </r>
        <r>
          <rPr>
            <sz val="9"/>
            <color rgb="FF000000"/>
            <rFont val="Tahoma"/>
            <family val="2"/>
          </rPr>
          <t xml:space="preserve">
</t>
        </r>
        <r>
          <rPr>
            <sz val="9"/>
            <color rgb="FF000000"/>
            <rFont val="Tahoma"/>
            <family val="2"/>
          </rPr>
          <t>Referenced in CIM RE: HRCO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4"/>
        </ext>
      </extLst>
    </bk>
    <bk>
      <extLst>
        <ext uri="{3e2802c4-a4d2-4d8b-9148-e3be6c30e623}">
          <xlrd:rvb i="25"/>
        </ext>
      </extLst>
    </bk>
  </futureMetadata>
  <valueMetadata count="3">
    <bk>
      <rc t="1" v="0"/>
    </bk>
    <bk>
      <rc t="1" v="1"/>
    </bk>
    <bk>
      <rc t="1" v="2"/>
    </bk>
  </valueMetadata>
</metadata>
</file>

<file path=xl/sharedStrings.xml><?xml version="1.0" encoding="utf-8"?>
<sst xmlns="http://schemas.openxmlformats.org/spreadsheetml/2006/main" count="664" uniqueCount="236">
  <si>
    <t>G</t>
  </si>
  <si>
    <t>Plant Owner</t>
  </si>
  <si>
    <t>Project Codename</t>
  </si>
  <si>
    <t>Project Name</t>
  </si>
  <si>
    <t>Overall Project Score</t>
  </si>
  <si>
    <t>Thermal Operating Score</t>
  </si>
  <si>
    <t>Redevelopment Score</t>
  </si>
  <si>
    <t>Redevelopment (Load) Score</t>
  </si>
  <si>
    <t>I&amp;C Score</t>
  </si>
  <si>
    <t>Process (P) or Bilateral (B)</t>
  </si>
  <si>
    <t>Number of Sites</t>
  </si>
  <si>
    <t>Legacy Nameplate Capacity (MW)</t>
  </si>
  <si>
    <t>Tech</t>
  </si>
  <si>
    <t>Heat Rate (Btu/kWh)</t>
  </si>
  <si>
    <t>2024 Capacity Factor</t>
  </si>
  <si>
    <t>Legacy COD</t>
  </si>
  <si>
    <t>Gas Reference</t>
  </si>
  <si>
    <t xml:space="preserve">Contact
</t>
  </si>
  <si>
    <t>Zone/Submarket</t>
  </si>
  <si>
    <t>Location</t>
  </si>
  <si>
    <t>Site Acreage</t>
  </si>
  <si>
    <t>Fuel</t>
  </si>
  <si>
    <t>Capacity Factor</t>
  </si>
  <si>
    <t>Markets</t>
  </si>
  <si>
    <t>Thermal Optimization</t>
  </si>
  <si>
    <t>Envionmental Score</t>
  </si>
  <si>
    <t>Infra</t>
  </si>
  <si>
    <t>IX</t>
  </si>
  <si>
    <t>Co-Locate/Repower</t>
  </si>
  <si>
    <t>CCI</t>
  </si>
  <si>
    <t>Cloud</t>
  </si>
  <si>
    <t>Roseton</t>
  </si>
  <si>
    <t>P</t>
  </si>
  <si>
    <t>ST</t>
  </si>
  <si>
    <t>Arvind Rajpal</t>
  </si>
  <si>
    <t>NYISO</t>
  </si>
  <si>
    <t>Newburgh, NY</t>
  </si>
  <si>
    <t>~20 developable acres</t>
  </si>
  <si>
    <t>Gas</t>
  </si>
  <si>
    <t>Codevelopment</t>
  </si>
  <si>
    <t>Rockland</t>
  </si>
  <si>
    <t>Evergreen</t>
  </si>
  <si>
    <t>Montpelier</t>
  </si>
  <si>
    <t>GT</t>
  </si>
  <si>
    <t>Panhandle Eastern, Point: TBD</t>
  </si>
  <si>
    <t>PEI (Parvan) &amp; H&amp;L (Vamsi)</t>
  </si>
  <si>
    <t>PJM</t>
  </si>
  <si>
    <t>AEP</t>
  </si>
  <si>
    <t>Poneto, IN</t>
  </si>
  <si>
    <t>80 (owned)</t>
  </si>
  <si>
    <t>Alliance Energy Group</t>
  </si>
  <si>
    <t>Blue Sky</t>
  </si>
  <si>
    <t>Hillburn</t>
  </si>
  <si>
    <t>B</t>
  </si>
  <si>
    <t>Brian Gregson/Neil Davids</t>
  </si>
  <si>
    <t>NY</t>
  </si>
  <si>
    <t>Shoemaker</t>
  </si>
  <si>
    <t>Talen</t>
  </si>
  <si>
    <t>NA</t>
  </si>
  <si>
    <t>Martins Creek</t>
  </si>
  <si>
    <t>Emily Kraus</t>
  </si>
  <si>
    <t>Martins Creek, PA</t>
  </si>
  <si>
    <t>Calpine/ Constellation</t>
  </si>
  <si>
    <t>Pathfinder</t>
  </si>
  <si>
    <t>York</t>
  </si>
  <si>
    <t>CCGT</t>
  </si>
  <si>
    <t>Transco Zn 6 NNY</t>
  </si>
  <si>
    <t>Jefferies/Barclays</t>
  </si>
  <si>
    <t>MAAC</t>
  </si>
  <si>
    <t>Delta, PA</t>
  </si>
  <si>
    <t>Edge Moor</t>
  </si>
  <si>
    <t>SWMAAC</t>
  </si>
  <si>
    <t>Wilmington, DE</t>
  </si>
  <si>
    <t>Repower</t>
  </si>
  <si>
    <t>Hay Road</t>
  </si>
  <si>
    <t>Oil</t>
  </si>
  <si>
    <t>Bethlehem</t>
  </si>
  <si>
    <t>Transco Zn 6 NNY / Tetco M3</t>
  </si>
  <si>
    <t>Bethlehem, PA</t>
  </si>
  <si>
    <t>Massena</t>
  </si>
  <si>
    <t>Iroquois</t>
  </si>
  <si>
    <t>ROS</t>
  </si>
  <si>
    <t>TBD</t>
  </si>
  <si>
    <t>Fortistar</t>
  </si>
  <si>
    <t>Allen</t>
  </si>
  <si>
    <t>Lockport</t>
  </si>
  <si>
    <t>Michael Proskin (BMO)</t>
  </si>
  <si>
    <t>A</t>
  </si>
  <si>
    <t>Ogdensburg</t>
  </si>
  <si>
    <t>N/A</t>
  </si>
  <si>
    <t>Ogdensburg, NY</t>
  </si>
  <si>
    <t>Yankee</t>
  </si>
  <si>
    <t>Columbia Gas, Point: TBD</t>
  </si>
  <si>
    <t>Day</t>
  </si>
  <si>
    <t>Centerville, OH</t>
  </si>
  <si>
    <t>26.3 (owned)</t>
  </si>
  <si>
    <t>Castleton</t>
  </si>
  <si>
    <t>F</t>
  </si>
  <si>
    <t>Albany, NY</t>
  </si>
  <si>
    <t>O.H. Hutchings</t>
  </si>
  <si>
    <t>Recip</t>
  </si>
  <si>
    <t>Miamisburg, OH</t>
  </si>
  <si>
    <t>13.7 (owned)</t>
  </si>
  <si>
    <t>JERA</t>
  </si>
  <si>
    <t>Canal Assets 1 &amp; 2</t>
  </si>
  <si>
    <t>Todd/Sean</t>
  </si>
  <si>
    <t>ISONE</t>
  </si>
  <si>
    <t>Canal Asset 3</t>
  </si>
  <si>
    <t>Bucksport</t>
  </si>
  <si>
    <t>Milford</t>
  </si>
  <si>
    <t>Linden 1-5</t>
  </si>
  <si>
    <t>Eli Smith (JERA)</t>
  </si>
  <si>
    <t>Linden 6</t>
  </si>
  <si>
    <t>Marcus Hook</t>
  </si>
  <si>
    <t>Dighton</t>
  </si>
  <si>
    <t>Batavia</t>
  </si>
  <si>
    <t>Batavia, NY</t>
  </si>
  <si>
    <t>Sterling</t>
  </si>
  <si>
    <t>Allegany</t>
  </si>
  <si>
    <t>Dominion South</t>
  </si>
  <si>
    <t>Lee</t>
  </si>
  <si>
    <t>NGPL, Point: TBD</t>
  </si>
  <si>
    <t>ComEd</t>
  </si>
  <si>
    <t>Dixon, IL</t>
  </si>
  <si>
    <t>67 (owned)</t>
  </si>
  <si>
    <t>Monument</t>
  </si>
  <si>
    <t>Dayton, OH</t>
  </si>
  <si>
    <t>1.1 (leased)</t>
  </si>
  <si>
    <t>Sidney</t>
  </si>
  <si>
    <t>Sidney, OH</t>
  </si>
  <si>
    <t>7.5 (leased)</t>
  </si>
  <si>
    <t>Tiger Infra</t>
  </si>
  <si>
    <t>Danskammer Generating Station</t>
  </si>
  <si>
    <t>Howard Taylor</t>
  </si>
  <si>
    <t>Tait</t>
  </si>
  <si>
    <t>Rex Zone 3 GDD Midpoint2</t>
  </si>
  <si>
    <t>23 (owned)</t>
  </si>
  <si>
    <t>BP</t>
  </si>
  <si>
    <t>BP Whiting</t>
  </si>
  <si>
    <t>MISO</t>
  </si>
  <si>
    <t>Zone 6</t>
  </si>
  <si>
    <t>Whiting, IN</t>
  </si>
  <si>
    <t>Dartmouth Power Associates LP</t>
  </si>
  <si>
    <t>SEMA (Southeast Mass)</t>
  </si>
  <si>
    <t>Camden Plant Holding LLC</t>
  </si>
  <si>
    <t>EMAAC</t>
  </si>
  <si>
    <t>Lotus Infrastructure Partners</t>
  </si>
  <si>
    <t>West Lorain</t>
  </si>
  <si>
    <t>1973/2001
7B/7EA</t>
  </si>
  <si>
    <t>Jeff Delgado</t>
  </si>
  <si>
    <t>West Lorain, OH</t>
  </si>
  <si>
    <t>Avenue Capital</t>
  </si>
  <si>
    <t>Jockey</t>
  </si>
  <si>
    <t>Big Sandy</t>
  </si>
  <si>
    <t>Houlihan</t>
  </si>
  <si>
    <t>Wolf Hills</t>
  </si>
  <si>
    <t>Morgan Stanley</t>
  </si>
  <si>
    <t>Jupiter</t>
  </si>
  <si>
    <t>Bayonne</t>
  </si>
  <si>
    <t>Scott Beicke</t>
  </si>
  <si>
    <t>Avenue Capital (Heritage Portfolio)</t>
  </si>
  <si>
    <t>Shawville</t>
  </si>
  <si>
    <t>CIBC</t>
  </si>
  <si>
    <t>Shawville, PA</t>
  </si>
  <si>
    <t>New Castle</t>
  </si>
  <si>
    <t>West Pittsburg, PA</t>
  </si>
  <si>
    <t>Tolna</t>
  </si>
  <si>
    <t>Tolna, PA</t>
  </si>
  <si>
    <t>Market Score</t>
  </si>
  <si>
    <t>ISO</t>
  </si>
  <si>
    <t>Redevelopment Base Case</t>
  </si>
  <si>
    <t>BESS</t>
  </si>
  <si>
    <t>BESS
Gas/Thermal</t>
  </si>
  <si>
    <t>Solar
Gas/Thermal</t>
  </si>
  <si>
    <t>Gas/Thermal
Powered Land</t>
  </si>
  <si>
    <t>Gas/Thermal</t>
  </si>
  <si>
    <t>Solar</t>
  </si>
  <si>
    <t>BESS
Powered Land</t>
  </si>
  <si>
    <t>Plant Optimization
Powered Land</t>
  </si>
  <si>
    <t>Plant  COD</t>
  </si>
  <si>
    <t>Bilateral w/new relationship or Process w/less than 10 bidders</t>
  </si>
  <si>
    <t>Highly Competetive Process - More than 10 Bidders</t>
  </si>
  <si>
    <t>Bilateral w/ developed relationship</t>
  </si>
  <si>
    <t>M&amp;A,Redev</t>
  </si>
  <si>
    <t xml:space="preserve">Transactability Scores </t>
  </si>
  <si>
    <t xml:space="preserve">Transactability </t>
  </si>
  <si>
    <t>Project Type</t>
  </si>
  <si>
    <t>Bill Gross</t>
  </si>
  <si>
    <t>National Fuel</t>
  </si>
  <si>
    <t>GE</t>
  </si>
  <si>
    <t>BP Sites (Brownfield)</t>
  </si>
  <si>
    <t>Camelot (Data Center)</t>
  </si>
  <si>
    <t>National Fuel Sites</t>
  </si>
  <si>
    <t>Parlin</t>
  </si>
  <si>
    <t>Thermal/Powered Land</t>
  </si>
  <si>
    <t>Powered Land</t>
  </si>
  <si>
    <t>1H 2029</t>
  </si>
  <si>
    <t>Jason, PB, Ann</t>
  </si>
  <si>
    <t>WECC, MISO, SPP</t>
  </si>
  <si>
    <t>OR, WA, MO, IL</t>
  </si>
  <si>
    <t>SERC</t>
  </si>
  <si>
    <t>Kingsland, GA</t>
  </si>
  <si>
    <t>PJM, NYISO</t>
  </si>
  <si>
    <t>OH, PA, NY</t>
  </si>
  <si>
    <t>Redev</t>
  </si>
  <si>
    <t>BPU</t>
  </si>
  <si>
    <t>Dual Fuel Recips</t>
  </si>
  <si>
    <t>SPP</t>
  </si>
  <si>
    <t>Kansas City, KS</t>
  </si>
  <si>
    <t>NorthStar</t>
  </si>
  <si>
    <t>Yankee (BESS)</t>
  </si>
  <si>
    <t>-</t>
  </si>
  <si>
    <t>Vernon VT</t>
  </si>
  <si>
    <t>BP Sites</t>
  </si>
  <si>
    <t xml:space="preserve">Camelot </t>
  </si>
  <si>
    <t>Redev Capacity (MW)</t>
  </si>
  <si>
    <t>Redev Fuel</t>
  </si>
  <si>
    <t>Redev COD</t>
  </si>
  <si>
    <t>Redev Tech</t>
  </si>
  <si>
    <t>Redev Lead</t>
  </si>
  <si>
    <t>Redev Heatrate (Btu/kWh)</t>
  </si>
  <si>
    <t>Patrick Brosnan</t>
  </si>
  <si>
    <t>RB Bakondy</t>
  </si>
  <si>
    <t>Redev Support</t>
  </si>
  <si>
    <t>Datacenter</t>
  </si>
  <si>
    <t>Quindaro Power Plant</t>
  </si>
  <si>
    <t>Quindaro Datacenter</t>
  </si>
  <si>
    <t>Ann Banks</t>
  </si>
  <si>
    <t>Redev,Owned</t>
  </si>
  <si>
    <t>Redev Stage Gate</t>
  </si>
  <si>
    <t>Quindaro (Thermal)</t>
  </si>
  <si>
    <t>Redev Tier</t>
  </si>
  <si>
    <t>Redev Land Control</t>
  </si>
  <si>
    <t>Y</t>
  </si>
  <si>
    <t>N</t>
  </si>
  <si>
    <t>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</si>
</sst>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Aptos Narrow"/>
      <family val="2"/>
      <scheme val="minor"/>
    </font>
    <font>
      <sz val="11"/>
      <color theme="1"/>
      <name val="Aptos Narrow"/>
      <family val="2"/>
      <scheme val="minor"/>
    </font>
    <font>
      <u/>
      <sz val="11"/>
      <color theme="10"/>
      <name val="Aptos Narrow"/>
      <family val="2"/>
      <scheme val="minor"/>
    </font>
    <font>
      <sz val="12"/>
      <name val="Aptos Narrow"/>
      <family val="2"/>
      <scheme val="minor"/>
    </font>
    <font>
      <b/>
      <sz val="12"/>
      <name val="Aptos Narrow"/>
      <family val="2"/>
      <scheme val="minor"/>
    </font>
    <font>
      <sz val="12"/>
      <color rgb="FF008000"/>
      <name val="Aptos Narrow"/>
      <family val="2"/>
      <scheme val="minor"/>
    </font>
    <font>
      <sz val="12"/>
      <color rgb="FF0000FF"/>
      <name val="Aptos Narrow"/>
      <family val="2"/>
      <scheme val="minor"/>
    </font>
    <font>
      <b/>
      <sz val="12"/>
      <color theme="0"/>
      <name val="Aptos Narrow"/>
      <family val="2"/>
      <scheme val="minor"/>
    </font>
    <font>
      <b/>
      <sz val="12"/>
      <color rgb="FFFFFFFF"/>
      <name val="Aptos Narrow"/>
      <family val="2"/>
      <scheme val="minor"/>
    </font>
    <font>
      <sz val="12"/>
      <color theme="0"/>
      <name val="Aptos Narrow"/>
      <family val="2"/>
      <scheme val="minor"/>
    </font>
    <font>
      <b/>
      <sz val="12"/>
      <color theme="3" tint="0.249977111117893"/>
      <name val="Aptos Narrow"/>
      <family val="2"/>
      <scheme val="minor"/>
    </font>
    <font>
      <b/>
      <sz val="12"/>
      <color rgb="FF000000"/>
      <name val="Aptos Narrow"/>
      <family val="2"/>
      <scheme val="minor"/>
    </font>
    <font>
      <sz val="12"/>
      <color rgb="FFFF0000"/>
      <name val="Aptos Narrow"/>
      <family val="2"/>
      <scheme val="minor"/>
    </font>
    <font>
      <b/>
      <u/>
      <sz val="12"/>
      <color theme="10"/>
      <name val="Aptos Narrow"/>
      <family val="2"/>
      <scheme val="minor"/>
    </font>
    <font>
      <b/>
      <sz val="9"/>
      <color rgb="FF000000"/>
      <name val="Tahoma"/>
      <family val="2"/>
    </font>
    <font>
      <sz val="9"/>
      <color rgb="FF000000"/>
      <name val="Tahoma"/>
      <family val="2"/>
    </font>
    <font>
      <sz val="8"/>
      <color rgb="FF0F1115"/>
      <name val="Segoe UI"/>
      <family val="2"/>
    </font>
    <font>
      <sz val="12"/>
      <color rgb="FF0F1115"/>
      <name val="Aptos Narrow"/>
      <family val="2"/>
      <scheme val="minor"/>
    </font>
    <font>
      <b/>
      <sz val="12"/>
      <color rgb="FFFF0000"/>
      <name val="Aptos Narrow"/>
      <family val="2"/>
      <scheme val="minor"/>
    </font>
  </fonts>
  <fills count="8">
    <fill>
      <patternFill patternType="none"/>
    </fill>
    <fill>
      <patternFill patternType="gray125"/>
    </fill>
    <fill>
      <patternFill patternType="solid">
        <fgColor theme="2" tint="-9.9978637043366805E-2"/>
        <bgColor indexed="64"/>
      </patternFill>
    </fill>
    <fill>
      <patternFill patternType="solid">
        <fgColor rgb="FF0F397E"/>
        <bgColor indexed="64"/>
      </patternFill>
    </fill>
    <fill>
      <patternFill patternType="solid">
        <fgColor theme="5"/>
        <bgColor indexed="64"/>
      </patternFill>
    </fill>
    <fill>
      <patternFill patternType="solid">
        <fgColor rgb="FFFFFF00"/>
        <bgColor indexed="64"/>
      </patternFill>
    </fill>
    <fill>
      <patternFill patternType="solid">
        <fgColor rgb="FFFFFFCC"/>
        <bgColor indexed="64"/>
      </patternFill>
    </fill>
    <fill>
      <patternFill patternType="solid">
        <fgColor rgb="FFFFFFFF"/>
        <bgColor indexed="64"/>
      </patternFill>
    </fill>
  </fills>
  <borders count="10">
    <border>
      <left/>
      <right/>
      <top/>
      <bottom/>
      <diagonal/>
    </border>
    <border>
      <left/>
      <right style="mediumDashed">
        <color auto="1"/>
      </right>
      <top/>
      <bottom/>
      <diagonal/>
    </border>
    <border>
      <left style="thin">
        <color theme="0"/>
      </left>
      <right style="thin">
        <color theme="0"/>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top style="thin">
        <color indexed="64"/>
      </top>
      <bottom style="thin">
        <color indexed="64"/>
      </bottom>
      <diagonal/>
    </border>
    <border>
      <left/>
      <right/>
      <top style="thin">
        <color rgb="FF000000"/>
      </top>
      <bottom style="thin">
        <color rgb="FF000000"/>
      </bottom>
      <diagonal/>
    </border>
    <border>
      <left style="mediumDashed">
        <color auto="1"/>
      </left>
      <right/>
      <top/>
      <bottom/>
      <diagonal/>
    </border>
    <border>
      <left/>
      <right/>
      <top style="thin">
        <color indexed="64"/>
      </top>
      <bottom/>
      <diagonal/>
    </border>
    <border>
      <left style="thin">
        <color auto="1"/>
      </left>
      <right style="thin">
        <color auto="1"/>
      </right>
      <top style="thin">
        <color auto="1"/>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1" fillId="0" borderId="0"/>
  </cellStyleXfs>
  <cellXfs count="65">
    <xf numFmtId="0" fontId="0" fillId="0" borderId="0" xfId="0"/>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2" borderId="0" xfId="0" applyFont="1" applyFill="1" applyAlignment="1">
      <alignment horizontal="center" vertical="center" wrapText="1"/>
    </xf>
    <xf numFmtId="0" fontId="3" fillId="0" borderId="1" xfId="0" applyFont="1" applyBorder="1" applyAlignment="1">
      <alignment horizontal="center" vertical="center" wrapText="1"/>
    </xf>
    <xf numFmtId="0" fontId="7" fillId="3" borderId="0" xfId="0" applyFont="1" applyFill="1" applyAlignment="1">
      <alignment horizontal="center" vertical="center" wrapText="1"/>
    </xf>
    <xf numFmtId="0" fontId="8" fillId="3" borderId="2" xfId="0" applyFont="1" applyFill="1" applyBorder="1" applyAlignment="1">
      <alignment horizontal="center" vertical="center" wrapText="1"/>
    </xf>
    <xf numFmtId="0" fontId="7" fillId="2" borderId="0" xfId="0" applyFont="1" applyFill="1" applyAlignment="1">
      <alignment horizontal="center" vertical="center" wrapText="1"/>
    </xf>
    <xf numFmtId="0" fontId="7" fillId="3" borderId="0" xfId="0" applyFont="1" applyFill="1" applyAlignment="1">
      <alignment horizontal="center" wrapText="1"/>
    </xf>
    <xf numFmtId="0" fontId="7" fillId="3" borderId="1" xfId="0" applyFont="1" applyFill="1" applyBorder="1" applyAlignment="1">
      <alignment horizontal="center" vertical="center" wrapText="1"/>
    </xf>
    <xf numFmtId="0" fontId="9" fillId="0" borderId="0" xfId="0" applyFont="1" applyAlignment="1">
      <alignment horizontal="center" vertical="center" wrapText="1"/>
    </xf>
    <xf numFmtId="0" fontId="6"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4" fillId="0" borderId="3" xfId="0" applyFont="1" applyBorder="1" applyAlignment="1">
      <alignment horizontal="center" vertical="center" wrapText="1"/>
    </xf>
    <xf numFmtId="43" fontId="4" fillId="4" borderId="3" xfId="1" applyFont="1" applyFill="1" applyBorder="1" applyAlignment="1">
      <alignment horizontal="center" vertical="center" wrapText="1"/>
    </xf>
    <xf numFmtId="2" fontId="11" fillId="0" borderId="3" xfId="0" applyNumberFormat="1" applyFont="1" applyBorder="1" applyAlignment="1">
      <alignment horizontal="center" vertical="center" wrapText="1"/>
    </xf>
    <xf numFmtId="0" fontId="11" fillId="0" borderId="3" xfId="0" applyFont="1" applyBorder="1" applyAlignment="1">
      <alignment horizontal="center" vertical="center" wrapText="1"/>
    </xf>
    <xf numFmtId="0" fontId="4" fillId="4"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37" fontId="6" fillId="0" borderId="3" xfId="1" applyNumberFormat="1" applyFont="1" applyFill="1" applyBorder="1" applyAlignment="1">
      <alignment horizontal="center" vertical="center" wrapText="1"/>
    </xf>
    <xf numFmtId="37" fontId="3" fillId="0" borderId="3" xfId="1" applyNumberFormat="1" applyFont="1" applyFill="1" applyBorder="1" applyAlignment="1">
      <alignment horizontal="center" vertical="center" wrapText="1"/>
    </xf>
    <xf numFmtId="37" fontId="6" fillId="0" borderId="3" xfId="0" applyNumberFormat="1" applyFont="1" applyBorder="1" applyAlignment="1">
      <alignment horizontal="center" vertical="center" wrapText="1"/>
    </xf>
    <xf numFmtId="10" fontId="6" fillId="0" borderId="3" xfId="2" applyNumberFormat="1" applyFont="1" applyFill="1" applyBorder="1" applyAlignment="1">
      <alignment horizontal="center" vertical="center" wrapText="1"/>
    </xf>
    <xf numFmtId="0" fontId="3" fillId="0" borderId="3" xfId="0" applyFont="1" applyBorder="1" applyAlignment="1">
      <alignment horizontal="center" vertical="center" wrapText="1"/>
    </xf>
    <xf numFmtId="37" fontId="3" fillId="0" borderId="0" xfId="0" applyNumberFormat="1" applyFont="1" applyAlignment="1">
      <alignment horizontal="center" vertical="center" wrapText="1"/>
    </xf>
    <xf numFmtId="0" fontId="5" fillId="0" borderId="0" xfId="0" applyFont="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0" fontId="12" fillId="0" borderId="0" xfId="0" applyFont="1" applyAlignment="1">
      <alignment horizontal="center" vertical="center" wrapText="1"/>
    </xf>
    <xf numFmtId="37" fontId="6" fillId="0" borderId="3" xfId="1" applyNumberFormat="1" applyFont="1" applyBorder="1" applyAlignment="1">
      <alignment horizontal="center" vertical="center" wrapText="1"/>
    </xf>
    <xf numFmtId="37" fontId="3" fillId="0" borderId="3" xfId="1" applyNumberFormat="1" applyFont="1" applyBorder="1" applyAlignment="1">
      <alignment horizontal="center" vertical="center" wrapText="1"/>
    </xf>
    <xf numFmtId="10" fontId="6" fillId="0" borderId="3" xfId="2" applyNumberFormat="1" applyFont="1" applyBorder="1" applyAlignment="1">
      <alignment horizontal="center" vertical="center" wrapText="1"/>
    </xf>
    <xf numFmtId="0" fontId="13" fillId="0" borderId="3" xfId="3" applyFont="1" applyBorder="1" applyAlignment="1">
      <alignment horizontal="center" vertical="center" wrapText="1"/>
    </xf>
    <xf numFmtId="10" fontId="12" fillId="0" borderId="3" xfId="2" applyNumberFormat="1" applyFont="1" applyBorder="1" applyAlignment="1">
      <alignment horizontal="center" vertical="center" wrapText="1"/>
    </xf>
    <xf numFmtId="0" fontId="10" fillId="0" borderId="4" xfId="0" applyFont="1" applyBorder="1" applyAlignment="1">
      <alignment horizontal="center" vertical="center" wrapText="1"/>
    </xf>
    <xf numFmtId="3" fontId="6" fillId="0" borderId="3" xfId="0" applyNumberFormat="1" applyFont="1" applyBorder="1" applyAlignment="1">
      <alignment horizontal="center" vertical="center" wrapText="1"/>
    </xf>
    <xf numFmtId="37" fontId="6" fillId="0" borderId="0" xfId="0" applyNumberFormat="1" applyFont="1" applyAlignment="1">
      <alignment horizontal="center" vertical="center" wrapText="1"/>
    </xf>
    <xf numFmtId="0" fontId="10" fillId="0" borderId="5" xfId="0" applyFont="1" applyBorder="1" applyAlignment="1">
      <alignment horizontal="center" vertical="center" wrapText="1"/>
    </xf>
    <xf numFmtId="0" fontId="6" fillId="5" borderId="0" xfId="0" applyFont="1" applyFill="1" applyAlignment="1">
      <alignment horizontal="center" vertical="center" wrapText="1"/>
    </xf>
    <xf numFmtId="0" fontId="10" fillId="0" borderId="0" xfId="0" applyFont="1" applyAlignment="1">
      <alignment horizontal="center" vertical="center" wrapText="1"/>
    </xf>
    <xf numFmtId="0" fontId="4" fillId="5" borderId="3" xfId="0" applyFont="1" applyFill="1" applyBorder="1" applyAlignment="1">
      <alignment horizontal="center" vertical="center" wrapText="1"/>
    </xf>
    <xf numFmtId="9" fontId="6" fillId="0" borderId="3" xfId="2" applyFont="1" applyFill="1" applyBorder="1" applyAlignment="1">
      <alignment horizontal="center" vertical="center" wrapText="1"/>
    </xf>
    <xf numFmtId="0" fontId="10" fillId="0" borderId="6" xfId="0" applyFont="1" applyBorder="1" applyAlignment="1">
      <alignment horizontal="center" vertical="center" wrapText="1"/>
    </xf>
    <xf numFmtId="0" fontId="3" fillId="5" borderId="0" xfId="0" applyFont="1" applyFill="1" applyAlignment="1">
      <alignment horizontal="center" vertical="center" wrapText="1"/>
    </xf>
    <xf numFmtId="10" fontId="12" fillId="0" borderId="3" xfId="2" applyNumberFormat="1" applyFont="1" applyFill="1" applyBorder="1" applyAlignment="1">
      <alignment horizontal="center" vertical="center" wrapText="1"/>
    </xf>
    <xf numFmtId="37" fontId="3" fillId="0" borderId="3" xfId="0" applyNumberFormat="1" applyFont="1" applyBorder="1" applyAlignment="1">
      <alignment horizontal="center" vertical="center" wrapText="1"/>
    </xf>
    <xf numFmtId="0" fontId="3" fillId="6" borderId="1" xfId="0" applyFont="1" applyFill="1" applyBorder="1" applyAlignment="1">
      <alignment horizontal="center" vertical="center" wrapText="1"/>
    </xf>
    <xf numFmtId="0" fontId="3" fillId="0" borderId="7" xfId="0" applyFont="1" applyBorder="1" applyAlignment="1">
      <alignment horizontal="center" vertical="center" wrapText="1"/>
    </xf>
    <xf numFmtId="0" fontId="17" fillId="0" borderId="0" xfId="0" applyFont="1"/>
    <xf numFmtId="0" fontId="18" fillId="2" borderId="0" xfId="0" applyFont="1" applyFill="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4" fillId="0" borderId="9" xfId="0" applyFont="1" applyBorder="1" applyAlignment="1">
      <alignment horizontal="center" vertical="center" wrapText="1"/>
    </xf>
    <xf numFmtId="43" fontId="4" fillId="4" borderId="9" xfId="1" applyFont="1" applyFill="1" applyBorder="1" applyAlignment="1">
      <alignment horizontal="center" vertical="center" wrapText="1"/>
    </xf>
    <xf numFmtId="2" fontId="11" fillId="0" borderId="9" xfId="0" applyNumberFormat="1" applyFont="1" applyBorder="1" applyAlignment="1">
      <alignment horizontal="center" vertical="center" wrapText="1"/>
    </xf>
    <xf numFmtId="0" fontId="11" fillId="0" borderId="9" xfId="0" applyFont="1" applyBorder="1" applyAlignment="1">
      <alignment horizontal="center" vertical="center" wrapText="1"/>
    </xf>
    <xf numFmtId="0" fontId="4" fillId="4" borderId="9"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6" fillId="0" borderId="9" xfId="0" applyFont="1" applyBorder="1" applyAlignment="1">
      <alignment horizontal="center" vertical="center" wrapText="1"/>
    </xf>
    <xf numFmtId="37" fontId="6" fillId="0" borderId="9" xfId="1" applyNumberFormat="1" applyFont="1" applyBorder="1" applyAlignment="1">
      <alignment horizontal="center" vertical="center" wrapText="1"/>
    </xf>
    <xf numFmtId="37" fontId="3" fillId="0" borderId="9" xfId="1" applyNumberFormat="1" applyFont="1" applyBorder="1" applyAlignment="1">
      <alignment horizontal="center" vertical="center" wrapText="1"/>
    </xf>
    <xf numFmtId="0" fontId="3" fillId="0" borderId="9" xfId="0" applyFont="1" applyBorder="1" applyAlignment="1">
      <alignment horizontal="center" vertical="center" wrapText="1"/>
    </xf>
    <xf numFmtId="10" fontId="12" fillId="0" borderId="9" xfId="2" applyNumberFormat="1" applyFont="1" applyBorder="1" applyAlignment="1">
      <alignment horizontal="center" vertical="center" wrapText="1"/>
    </xf>
    <xf numFmtId="0" fontId="16" fillId="7" borderId="3" xfId="0" applyFont="1" applyFill="1" applyBorder="1" applyAlignment="1">
      <alignment horizontal="left" vertical="center" wrapText="1" indent="1"/>
    </xf>
    <xf numFmtId="0" fontId="18" fillId="3" borderId="0" xfId="0" applyFont="1" applyFill="1" applyAlignment="1">
      <alignment horizontal="center" vertical="center" wrapText="1"/>
    </xf>
  </cellXfs>
  <cellStyles count="5">
    <cellStyle name="Comma" xfId="1" builtinId="3"/>
    <cellStyle name="Hyperlink" xfId="3" builtinId="8"/>
    <cellStyle name="Normal" xfId="0" builtinId="0"/>
    <cellStyle name="Normal 6" xfId="4" xr:uid="{44C9265F-A862-4840-B80D-5B609DA5FD8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SupportingPropertyBag" Target="richData/rdsupportingpropertybag.xml"/><Relationship Id="rId3" Type="http://schemas.openxmlformats.org/officeDocument/2006/relationships/theme" Target="theme/theme1.xml"/><Relationship Id="rId7" Type="http://schemas.microsoft.com/office/2020/07/relationships/rdRichValueWebImage" Target="richData/rdRichValueWebImage.xml"/><Relationship Id="rId12" Type="http://schemas.microsoft.com/office/2017/06/relationships/rdSupportingPropertyBagStructure" Target="richData/rdsupportingpropertybagstructur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ichStyles" Target="richData/richStyles.xml"/><Relationship Id="rId5" Type="http://schemas.openxmlformats.org/officeDocument/2006/relationships/sharedStrings" Target="sharedStrings.xml"/><Relationship Id="rId15" Type="http://schemas.openxmlformats.org/officeDocument/2006/relationships/calcChain" Target="calcChain.xml"/><Relationship Id="rId10" Type="http://schemas.microsoft.com/office/2017/06/relationships/rdArray" Target="richData/rdarray.xml"/><Relationship Id="rId4" Type="http://schemas.openxmlformats.org/officeDocument/2006/relationships/styles" Target="styles.xml"/><Relationship Id="rId9" Type="http://schemas.microsoft.com/office/2017/06/relationships/rdRichValueStructure" Target="richData/rdrichvaluestructure.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Desktop\react-dashboard\public\powertransitions_data.xlsx" TargetMode="External"/><Relationship Id="rId1" Type="http://schemas.openxmlformats.org/officeDocument/2006/relationships/externalLinkPath" Target="powertransitions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riteria"/>
      <sheetName val="MASTER - Operating Plants"/>
      <sheetName val="Priority"/>
      <sheetName val="Critieria List"/>
      <sheetName val="Redev of M&amp;A"/>
      <sheetName val="IX - Constraints &amp; Excess"/>
      <sheetName val="Removed from Priority"/>
      <sheetName val="Active Portfolio Details &gt;&gt;&gt;"/>
      <sheetName val="EIA 860M Apr 2025"/>
      <sheetName val="Alliance Energy Group"/>
      <sheetName val="Calpine"/>
      <sheetName val="Constellation"/>
      <sheetName val="Proj Evergreen"/>
      <sheetName val="Heritage_Power"/>
      <sheetName val="NationalGrid"/>
      <sheetName val=" InActive Portfolio Details &gt;&gt;"/>
      <sheetName val="Archer Daniels Midland"/>
      <sheetName val="MRP"/>
      <sheetName val="Support &gt;&gt;&gt;"/>
      <sheetName val="CapIQ All Power Plants"/>
    </sheetNames>
    <sheetDataSet>
      <sheetData sheetId="0"/>
      <sheetData sheetId="1"/>
      <sheetData sheetId="2"/>
      <sheetData sheetId="3">
        <row r="3">
          <cell r="B3">
            <v>3</v>
          </cell>
          <cell r="C3">
            <v>0.1</v>
          </cell>
          <cell r="E3">
            <v>3</v>
          </cell>
          <cell r="F3" t="str">
            <v>PJM</v>
          </cell>
          <cell r="K3">
            <v>3</v>
          </cell>
          <cell r="L3">
            <v>2000</v>
          </cell>
        </row>
        <row r="4">
          <cell r="B4">
            <v>2</v>
          </cell>
          <cell r="C4">
            <v>0.25</v>
          </cell>
          <cell r="E4">
            <v>3</v>
          </cell>
          <cell r="F4" t="str">
            <v>NYISO</v>
          </cell>
          <cell r="K4">
            <v>2</v>
          </cell>
          <cell r="L4">
            <v>2005</v>
          </cell>
        </row>
        <row r="5">
          <cell r="B5">
            <v>1</v>
          </cell>
          <cell r="C5">
            <v>0.5</v>
          </cell>
          <cell r="E5">
            <v>3</v>
          </cell>
          <cell r="F5" t="str">
            <v>ISONE</v>
          </cell>
          <cell r="K5">
            <v>1</v>
          </cell>
          <cell r="L5">
            <v>2025</v>
          </cell>
        </row>
        <row r="6">
          <cell r="B6">
            <v>1</v>
          </cell>
          <cell r="C6">
            <v>1</v>
          </cell>
          <cell r="E6">
            <v>2</v>
          </cell>
          <cell r="F6" t="str">
            <v>MISO North</v>
          </cell>
        </row>
        <row r="7">
          <cell r="E7">
            <v>2</v>
          </cell>
          <cell r="F7" t="str">
            <v>SERC</v>
          </cell>
        </row>
        <row r="8">
          <cell r="E8">
            <v>1</v>
          </cell>
          <cell r="F8" t="str">
            <v>SPP</v>
          </cell>
        </row>
        <row r="9">
          <cell r="E9">
            <v>1</v>
          </cell>
          <cell r="F9" t="str">
            <v>MISO South</v>
          </cell>
        </row>
        <row r="10">
          <cell r="E10">
            <v>0</v>
          </cell>
          <cell r="F10" t="str">
            <v>ERCOT</v>
          </cell>
        </row>
        <row r="11">
          <cell r="E11">
            <v>0</v>
          </cell>
          <cell r="F11" t="str">
            <v>WECC</v>
          </cell>
        </row>
        <row r="12">
          <cell r="E12">
            <v>0</v>
          </cell>
          <cell r="F12" t="str">
            <v>CAISO</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richData/_rels/rdRichValueWebImage.xml.rels><?xml version="1.0" encoding="UTF-8" standalone="yes"?>
<Relationships xmlns="http://schemas.openxmlformats.org/package/2006/relationships"><Relationship Id="rId3" Type="http://schemas.openxmlformats.org/officeDocument/2006/relationships/hyperlink" Target="https://www.bing.com/th?id=OSK.14e0fff946491d824e6afebdc9d2a87d&amp;qlt=95" TargetMode="External"/><Relationship Id="rId2" Type="http://schemas.openxmlformats.org/officeDocument/2006/relationships/hyperlink" Target="https://www.bing.com/images/search?form=xlimg&amp;q=Newburgh,%20New%20York" TargetMode="External"/><Relationship Id="rId1" Type="http://schemas.openxmlformats.org/officeDocument/2006/relationships/hyperlink" Target="https://www.bing.com/th?id=OSK.9176c944b05a986d4cd21d75d284a5c1&amp;qlt=95" TargetMode="External"/><Relationship Id="rId6" Type="http://schemas.openxmlformats.org/officeDocument/2006/relationships/hyperlink" Target="https://www.bing.com/images/search?form=xlimg&amp;q=Camden,%20New%20Jersey" TargetMode="External"/><Relationship Id="rId5" Type="http://schemas.openxmlformats.org/officeDocument/2006/relationships/hyperlink" Target="https://www.bing.com/th?id=OSK.ee2kSa2dhETRnJLvfNP0-ZMZap3E6mnIfBGiSL-wG9I&amp;qlt=95" TargetMode="External"/><Relationship Id="rId4" Type="http://schemas.openxmlformats.org/officeDocument/2006/relationships/hyperlink" Target="https://www.bing.com/images/search?form=xlimg&amp;q=Dartmouth,%20Massachusetts"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Srd>
</file>

<file path=xl/richData/rdarray.xml><?xml version="1.0" encoding="utf-8"?>
<arrayData xmlns="http://schemas.microsoft.com/office/spreadsheetml/2017/richdata2" count="3">
  <a r="1">
    <v t="r">7</v>
  </a>
  <a r="1">
    <v t="s">Eastern Time Zone</v>
  </a>
  <a r="1">
    <v t="r">31</v>
  </a>
</arrayData>
</file>

<file path=xl/richData/rdrichvalue.xml><?xml version="1.0" encoding="utf-8"?>
<rvData xmlns="http://schemas.microsoft.com/office/spreadsheetml/2017/richdata" count="37">
  <rv s="0">
    <v>536870912</v>
    <v>Newburgh, New York</v>
    <v>e94b0957-85b1-572f-3980-3784bcc429a5</v>
    <v>en-US</v>
    <v>Map</v>
  </rv>
  <rv s="0">
    <v>536870912</v>
    <v>New York</v>
    <v>caeb7b9a-f5d7-4686-8fb5-cf7628296b13</v>
    <v>en-US</v>
    <v>Map</v>
  </rv>
  <rv s="0">
    <v>536870912</v>
    <v>Orange County, New York</v>
    <v>3cb8f4d5-8e31-14f0-2417-7f1d3617d249</v>
    <v>en-US</v>
    <v>Map</v>
  </rv>
  <rv s="1">
    <fb>12.391484</fb>
    <v>8</v>
  </rv>
  <rv s="0">
    <v>536870912</v>
    <v>United States</v>
    <v>e3ef53f2-d302-b22a-64a7-6e0ce65be769</v>
    <v>en-US</v>
    <v>Map</v>
  </rv>
  <rv s="2">
    <v>0</v>
    <v>6</v>
    <v>0</v>
    <v>7</v>
    <v>0</v>
    <v>Image of Newburgh, New York</v>
  </rv>
  <rv s="1">
    <fb>41.519722222222001</fb>
    <v>9</v>
  </rv>
  <rv s="0">
    <v>805306368</v>
    <v>Torrance Harvey (Mayor)</v>
    <v>08032d5b-9d75-988c-6788-49ce997f6c35</v>
    <v>en-US</v>
    <v>Generic</v>
  </rv>
  <rv s="3">
    <v>0</v>
  </rv>
  <rv s="4">
    <v>https://www.bing.com/search?q=newburgh+city+new+york&amp;form=skydnc</v>
    <v>Learn more on Bing</v>
  </rv>
  <rv s="1">
    <fb>-74.019444444444005</fb>
    <v>9</v>
  </rv>
  <rv s="1">
    <fb>28856</fb>
    <v>8</v>
  </rv>
  <rv s="3">
    <v>1</v>
  </rv>
  <rv s="5">
    <v>#VALUE!</v>
    <v>en-US</v>
    <v>e94b0957-85b1-572f-3980-3784bcc429a5</v>
    <v>536870912</v>
    <v>1</v>
    <v>1</v>
    <v>2</v>
    <v>Newburgh, New York</v>
    <v>4</v>
    <v>5</v>
    <v>Map</v>
    <v>6</v>
    <v>7</v>
    <v>1</v>
    <v>2</v>
    <v>3</v>
    <v>4</v>
    <v>Newburgh is a city in Orange County, New York, United States. With a population of 28,856 as of the 2020 census, it is a principal city of the Kiryas Joel–Poughkeepsie–Newburgh metropolitan area. Located 60 miles north of New York City, and 90 ...</v>
    <v>5</v>
    <v>6</v>
    <v>8</v>
    <v>9</v>
    <v>10</v>
    <v>Newburgh, New York</v>
    <v>11</v>
    <v>12</v>
    <v>Newburgh, New York</v>
    <v>mdp/vdpid/5487248316896903169</v>
  </rv>
  <rv s="0">
    <v>536870912</v>
    <v>Dartmouth, Massachusetts</v>
    <v>ef02bdfe-8acf-eff9-3071-428dc44ca674</v>
    <v>en-US</v>
    <v>Map</v>
  </rv>
  <rv s="0">
    <v>536870912</v>
    <v>Massachusetts</v>
    <v>845219d5-3650-4199-b926-964ca27c863c</v>
    <v>en-US</v>
    <v>Map</v>
  </rv>
  <rv s="0">
    <v>536870912</v>
    <v>Bristol County</v>
    <v>cda34fe1-d4eb-1746-83ae-9e86068d2ddb</v>
    <v>en-US</v>
    <v>Map</v>
  </rv>
  <rv s="1">
    <fb>252.6</fb>
    <v>8</v>
  </rv>
  <rv s="0">
    <v>536870912</v>
    <v>United States of America</v>
    <v>5232ed96-85b1-2edb-12c6-63e6c597a1de</v>
    <v>en-US</v>
    <v>Map</v>
  </rv>
  <rv s="2">
    <v>1</v>
    <v>6</v>
    <v>10</v>
    <v>7</v>
    <v>0</v>
    <v>Image of Dartmouth, Massachusetts</v>
  </rv>
  <rv s="1">
    <fb>41.614444444443997</fb>
    <v>9</v>
  </rv>
  <rv s="4">
    <v>https://www.bing.com/search?q=dartmouth+massachusetts&amp;form=skydnc</v>
    <v>Learn more on Bing</v>
  </rv>
  <rv s="1">
    <fb>-70.969722222222003</fb>
    <v>9</v>
  </rv>
  <rv s="1">
    <fb>33783</fb>
    <v>8</v>
  </rv>
  <rv s="6">
    <v>#VALUE!</v>
    <v>en-US</v>
    <v>ef02bdfe-8acf-eff9-3071-428dc44ca674</v>
    <v>536870912</v>
    <v>1</v>
    <v>11</v>
    <v>12</v>
    <v>Dartmouth, Massachusetts</v>
    <v>4</v>
    <v>5</v>
    <v>Map</v>
    <v>6</v>
    <v>7</v>
    <v>15</v>
    <v>16</v>
    <v>17</v>
    <v>18</v>
    <v>Dartmouth is a coastal town in Bristol County, Massachusetts. Old Dartmouth was the first area of Southeastern Massachusetts to be settled by Europeans, primarily English. Dartmouth is part of New England's farm coast, which consists of a chain ...</v>
    <v>19</v>
    <v>20</v>
    <v>21</v>
    <v>22</v>
    <v>Dartmouth, Massachusetts</v>
    <v>23</v>
    <v>Dartmouth, Massachusetts</v>
    <v>mdp/vdpid/5488962108823437313</v>
  </rv>
  <rv s="0">
    <v>536870912</v>
    <v>Camden, New Jersey</v>
    <v>a4e9f287-6f09-4cc9-b3cf-35235ee86801</v>
    <v>en-US</v>
    <v>Map</v>
  </rv>
  <rv s="0">
    <v>536870912</v>
    <v>New Jersey</v>
    <v>05277898-b62b-4878-8632-09d29756a2ff</v>
    <v>en-US</v>
    <v>Map</v>
  </rv>
  <rv s="0">
    <v>536870912</v>
    <v>Camden County</v>
    <v>27f2e310-fcd4-f2de-cca3-b44f39fce66e</v>
    <v>en-US</v>
    <v>Map</v>
  </rv>
  <rv s="1">
    <fb>26.782578999999998</fb>
    <v>8</v>
  </rv>
  <rv s="2">
    <v>2</v>
    <v>6</v>
    <v>13</v>
    <v>7</v>
    <v>0</v>
    <v>Image of Camden, New Jersey</v>
  </rv>
  <rv s="1">
    <fb>39.936799999999998</fb>
    <v>9</v>
  </rv>
  <rv s="0">
    <v>805306368</v>
    <v>Victor Carstarphen (Mayor)</v>
    <v>3605cf92-068b-f26d-4f05-29b00b38fb4f</v>
    <v>en-US</v>
    <v>Generic</v>
  </rv>
  <rv s="3">
    <v>2</v>
  </rv>
  <rv s="4">
    <v>https://www.bing.com/search?q=camden+new+jersey&amp;form=skydnc</v>
    <v>Learn more on Bing</v>
  </rv>
  <rv s="1">
    <fb>-75.1066</fb>
    <v>9</v>
  </rv>
  <rv s="1">
    <fb>71791</fb>
    <v>8</v>
  </rv>
  <rv s="5">
    <v>#VALUE!</v>
    <v>en-US</v>
    <v>a4e9f287-6f09-4cc9-b3cf-35235ee86801</v>
    <v>536870912</v>
    <v>1</v>
    <v>14</v>
    <v>2</v>
    <v>Camden, New Jersey</v>
    <v>4</v>
    <v>5</v>
    <v>Map</v>
    <v>6</v>
    <v>7</v>
    <v>26</v>
    <v>27</v>
    <v>28</v>
    <v>18</v>
    <v>Camden is a city in Camden County, in the U.S. state of New Jersey. It is part of the Delaware Valley metropolitan region. The city was incorporated on February 13, 1828. Camden has been the county seat of Camden County since the county's ...</v>
    <v>29</v>
    <v>30</v>
    <v>32</v>
    <v>33</v>
    <v>34</v>
    <v>Camden, New Jersey</v>
    <v>35</v>
    <v>12</v>
    <v>Camden, New Jersey</v>
    <v>mdp/vdpid/5487462208533168130</v>
  </rv>
</rvData>
</file>

<file path=xl/richData/rdrichvaluestructure.xml><?xml version="1.0" encoding="utf-8"?>
<rvStructures xmlns="http://schemas.microsoft.com/office/spreadsheetml/2017/richdata" count="7">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2">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spbArrays>
  <spbData count="15">
    <spb s="0">
      <v xml:space="preserve">Wikipedia	</v>
      <v xml:space="preserve">CC BY-SA 3.0	</v>
      <v xml:space="preserve">https://en.wikipedia.org/wiki/Newburgh,_New_York	</v>
      <v xml:space="preserve">https://creativecommons.org/licenses/by-sa/3.0	</v>
    </spb>
    <spb s="1">
      <v>0</v>
      <v>0</v>
      <v>0</v>
      <v>0</v>
      <v>0</v>
      <v>0</v>
      <v>0</v>
      <v>0</v>
      <v>0</v>
      <v>0</v>
    </spb>
    <spb s="2">
      <v>0</v>
      <v>Name</v>
      <v>LearnMoreOnLink</v>
    </spb>
    <spb s="3">
      <v>0</v>
      <v>0</v>
      <v>0</v>
    </spb>
    <spb s="4">
      <v>3</v>
      <v>3</v>
      <v>3</v>
    </spb>
    <spb s="5">
      <v>1</v>
      <v>2</v>
    </spb>
    <spb s="6">
      <v>https://www.bing.com</v>
      <v>https://www.bing.com/th?id=Ga%5Cbing_yt.png&amp;w=100&amp;h=40&amp;c=0&amp;pid=0.1</v>
      <v>Powered by Bing</v>
    </spb>
    <spb s="7">
      <v>square km</v>
      <v>2020</v>
    </spb>
    <spb s="8">
      <v>3</v>
    </spb>
    <spb s="8">
      <v>4</v>
    </spb>
    <spb s="0">
      <v xml:space="preserve">Wikipedia	</v>
      <v xml:space="preserve">CC BY-SA 3.0	</v>
      <v xml:space="preserve">https://en.wikipedia.org/wiki/Dartmouth,_Massachusetts	</v>
      <v xml:space="preserve">https://creativecommons.org/licenses/by-sa/3.0	</v>
    </spb>
    <spb s="1">
      <v>10</v>
      <v>10</v>
      <v>10</v>
      <v>10</v>
      <v>10</v>
      <v>10</v>
      <v>10</v>
      <v>10</v>
      <v>10</v>
      <v>10</v>
    </spb>
    <spb s="2">
      <v>1</v>
      <v>Name</v>
      <v>LearnMoreOnLink</v>
    </spb>
    <spb s="0">
      <v xml:space="preserve">Wikipedia	</v>
      <v xml:space="preserve">CC BY-SA 3.0	</v>
      <v xml:space="preserve">https://en.wikipedia.org/wiki/Camden,_New_Jersey	</v>
      <v xml:space="preserve">https://creativecommons.org/licenses/by-sa/3.0	</v>
    </spb>
    <spb s="1">
      <v>13</v>
      <v>13</v>
      <v>13</v>
      <v>13</v>
      <v>13</v>
      <v>13</v>
      <v>13</v>
      <v>13</v>
      <v>13</v>
      <v>13</v>
    </spb>
  </spbData>
</supportingPropertyBags>
</file>

<file path=xl/richData/rdsupportingpropertybagstructure.xml><?xml version="1.0" encoding="utf-8"?>
<spbStructures xmlns="http://schemas.microsoft.com/office/spreadsheetml/2017/richdata2" count="9">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C93E-8E3B-466C-9E27-0F42C994458C}">
  <dimension ref="B1:AT50"/>
  <sheetViews>
    <sheetView tabSelected="1" zoomScale="80" zoomScaleNormal="80" workbookViewId="0">
      <pane ySplit="1" topLeftCell="A27" activePane="bottomLeft" state="frozen"/>
      <selection pane="bottomLeft" activeCell="B35" sqref="B35"/>
    </sheetView>
  </sheetViews>
  <sheetFormatPr defaultColWidth="22.36328125" defaultRowHeight="16" outlineLevelRow="1" outlineLevelCol="1" x14ac:dyDescent="0.35"/>
  <cols>
    <col min="1" max="1" width="8.26953125" style="1" customWidth="1"/>
    <col min="2" max="2" width="27.54296875" style="1" customWidth="1"/>
    <col min="3" max="3" width="27.54296875" style="1" customWidth="1" outlineLevel="1"/>
    <col min="4" max="4" width="20.453125" style="2" customWidth="1"/>
    <col min="5" max="5" width="20.453125" style="2" customWidth="1" outlineLevel="1"/>
    <col min="6" max="7" width="24.81640625" style="2" customWidth="1" outlineLevel="1"/>
    <col min="8" max="8" width="14.453125" style="2" customWidth="1" outlineLevel="1"/>
    <col min="9" max="9" width="18.90625" style="2" customWidth="1" outlineLevel="1"/>
    <col min="10" max="10" width="12.81640625" style="3" customWidth="1"/>
    <col min="11" max="11" width="17.81640625" style="1" customWidth="1" outlineLevel="1"/>
    <col min="12" max="12" width="20.453125" style="1" customWidth="1"/>
    <col min="13" max="13" width="14.453125" style="1" customWidth="1"/>
    <col min="14" max="14" width="13.36328125" style="1" customWidth="1"/>
    <col min="15" max="15" width="13.08984375" style="1" customWidth="1"/>
    <col min="16" max="16" width="13.90625" style="1" customWidth="1"/>
    <col min="17" max="19" width="20.1796875" style="1" customWidth="1"/>
    <col min="20" max="28" width="12.6328125" style="1" customWidth="1"/>
    <col min="29" max="29" width="17.1796875" style="1" customWidth="1"/>
    <col min="30" max="30" width="9.26953125" style="1" customWidth="1"/>
    <col min="31" max="31" width="16.81640625" style="1" customWidth="1" outlineLevel="1"/>
    <col min="32" max="32" width="15.54296875" style="1" customWidth="1" outlineLevel="1"/>
    <col min="33" max="34" width="13.36328125" style="1" customWidth="1" outlineLevel="1"/>
    <col min="35" max="35" width="23.1796875" style="1" customWidth="1"/>
    <col min="36" max="36" width="11.36328125" style="47" hidden="1" customWidth="1"/>
    <col min="37" max="37" width="22.36328125" style="1"/>
    <col min="38" max="38" width="18.26953125" style="1" customWidth="1"/>
    <col min="39" max="39" width="22.36328125" style="4"/>
    <col min="40" max="42" width="22.36328125" style="1"/>
    <col min="43" max="43" width="22.36328125" style="2" customWidth="1"/>
    <col min="44" max="16384" width="22.36328125" style="1"/>
  </cols>
  <sheetData>
    <row r="1" spans="2:46" s="10" customFormat="1" ht="64.150000000000006" customHeight="1" x14ac:dyDescent="0.4">
      <c r="B1" s="5" t="s">
        <v>1</v>
      </c>
      <c r="C1" s="5" t="s">
        <v>2</v>
      </c>
      <c r="D1" s="5" t="s">
        <v>3</v>
      </c>
      <c r="E1" s="6" t="s">
        <v>4</v>
      </c>
      <c r="F1" s="6" t="s">
        <v>5</v>
      </c>
      <c r="G1" s="6" t="s">
        <v>6</v>
      </c>
      <c r="H1" s="6" t="s">
        <v>7</v>
      </c>
      <c r="I1" s="6" t="s">
        <v>8</v>
      </c>
      <c r="J1" s="7" t="s">
        <v>9</v>
      </c>
      <c r="K1" s="5" t="s">
        <v>10</v>
      </c>
      <c r="L1" s="5" t="s">
        <v>11</v>
      </c>
      <c r="M1" s="5" t="s">
        <v>12</v>
      </c>
      <c r="N1" s="5" t="s">
        <v>13</v>
      </c>
      <c r="O1" s="5" t="s">
        <v>14</v>
      </c>
      <c r="P1" s="5" t="s">
        <v>15</v>
      </c>
      <c r="Q1" s="5" t="s">
        <v>16</v>
      </c>
      <c r="R1" s="64" t="s">
        <v>231</v>
      </c>
      <c r="S1" s="7" t="s">
        <v>170</v>
      </c>
      <c r="T1" s="49" t="s">
        <v>215</v>
      </c>
      <c r="U1" s="49" t="s">
        <v>218</v>
      </c>
      <c r="V1" s="49" t="s">
        <v>216</v>
      </c>
      <c r="W1" s="49" t="s">
        <v>220</v>
      </c>
      <c r="X1" s="49" t="s">
        <v>217</v>
      </c>
      <c r="Y1" s="49" t="s">
        <v>232</v>
      </c>
      <c r="Z1" s="49" t="s">
        <v>229</v>
      </c>
      <c r="AA1" s="49" t="s">
        <v>219</v>
      </c>
      <c r="AB1" s="49" t="s">
        <v>223</v>
      </c>
      <c r="AC1" s="8" t="s">
        <v>17</v>
      </c>
      <c r="AD1" s="5" t="s">
        <v>169</v>
      </c>
      <c r="AE1" s="5" t="s">
        <v>18</v>
      </c>
      <c r="AF1" s="5" t="s">
        <v>19</v>
      </c>
      <c r="AG1" s="5" t="s">
        <v>20</v>
      </c>
      <c r="AH1" s="5" t="s">
        <v>21</v>
      </c>
      <c r="AI1" s="5" t="s">
        <v>179</v>
      </c>
      <c r="AJ1" s="5" t="s">
        <v>22</v>
      </c>
      <c r="AK1" s="5" t="s">
        <v>23</v>
      </c>
      <c r="AL1" s="5" t="s">
        <v>24</v>
      </c>
      <c r="AM1" s="9" t="s">
        <v>25</v>
      </c>
      <c r="AN1" s="5" t="s">
        <v>168</v>
      </c>
      <c r="AO1" s="5" t="s">
        <v>26</v>
      </c>
      <c r="AP1" s="5" t="s">
        <v>27</v>
      </c>
      <c r="AQ1" s="5" t="s">
        <v>28</v>
      </c>
      <c r="AR1" s="5" t="s">
        <v>184</v>
      </c>
      <c r="AS1" s="5" t="s">
        <v>185</v>
      </c>
      <c r="AT1" s="5" t="s">
        <v>186</v>
      </c>
    </row>
    <row r="2" spans="2:46" s="28" customFormat="1" ht="48" x14ac:dyDescent="0.4">
      <c r="B2" s="12" t="s">
        <v>29</v>
      </c>
      <c r="C2" s="12" t="s">
        <v>30</v>
      </c>
      <c r="D2" s="13" t="s">
        <v>31</v>
      </c>
      <c r="E2" s="14">
        <v>5.0999999999999996</v>
      </c>
      <c r="F2" s="15">
        <v>2.4</v>
      </c>
      <c r="G2" s="16">
        <v>2.7</v>
      </c>
      <c r="H2" s="17"/>
      <c r="I2" s="17"/>
      <c r="J2" s="18" t="s">
        <v>32</v>
      </c>
      <c r="K2" s="11">
        <v>1</v>
      </c>
      <c r="L2" s="19">
        <v>1210</v>
      </c>
      <c r="M2" s="20" t="s">
        <v>33</v>
      </c>
      <c r="N2" s="21">
        <v>11400</v>
      </c>
      <c r="O2" s="22">
        <v>2.1999999999999999E-2</v>
      </c>
      <c r="P2" s="11">
        <v>1974</v>
      </c>
      <c r="Q2" s="11"/>
      <c r="R2" s="11"/>
      <c r="S2" s="11" t="s">
        <v>171</v>
      </c>
      <c r="T2" s="11"/>
      <c r="U2" s="11"/>
      <c r="V2" s="11"/>
      <c r="W2" s="11"/>
      <c r="X2" s="11"/>
      <c r="Y2" s="11"/>
      <c r="Z2" s="11"/>
      <c r="AA2" s="11"/>
      <c r="AB2" s="11"/>
      <c r="AC2" s="23" t="s">
        <v>34</v>
      </c>
      <c r="AD2" s="23" t="s">
        <v>35</v>
      </c>
      <c r="AE2" s="1" t="s">
        <v>0</v>
      </c>
      <c r="AF2" s="1" t="s">
        <v>36</v>
      </c>
      <c r="AG2" s="24" t="s">
        <v>37</v>
      </c>
      <c r="AH2" s="24" t="s">
        <v>38</v>
      </c>
      <c r="AI2" s="25">
        <f>_xlfn.XLOOKUP($P2,'[1]Critieria List'!$L$3:$L$5,'[1]Critieria List'!$K$3:$K$5,,1)</f>
        <v>3</v>
      </c>
      <c r="AJ2" s="25">
        <f>_xlfn.XLOOKUP(O2,'[1]Critieria List'!$C$3:$C$6,'[1]Critieria List'!$B$3:$B$6,,1)</f>
        <v>3</v>
      </c>
      <c r="AK2" s="25">
        <f>_xlfn.XLOOKUP(AD2,'[1]Critieria List'!$F$3:$F$12,'[1]Critieria List'!$E$3:$E$12,,0)</f>
        <v>3</v>
      </c>
      <c r="AL2" s="25"/>
      <c r="AM2" s="26">
        <v>2</v>
      </c>
      <c r="AN2" s="27">
        <v>3</v>
      </c>
      <c r="AO2" s="27">
        <v>3</v>
      </c>
      <c r="AP2" s="27">
        <v>2</v>
      </c>
      <c r="AQ2" s="2" t="s">
        <v>39</v>
      </c>
      <c r="AR2" s="28">
        <v>2</v>
      </c>
      <c r="AS2" s="28" t="s">
        <v>180</v>
      </c>
      <c r="AT2" s="48" t="s">
        <v>183</v>
      </c>
    </row>
    <row r="3" spans="2:46" ht="48" x14ac:dyDescent="0.4">
      <c r="B3" s="12" t="s">
        <v>40</v>
      </c>
      <c r="C3" s="12" t="s">
        <v>41</v>
      </c>
      <c r="D3" s="13" t="s">
        <v>42</v>
      </c>
      <c r="E3" s="14">
        <v>3</v>
      </c>
      <c r="F3" s="15">
        <v>0</v>
      </c>
      <c r="G3" s="16">
        <v>3</v>
      </c>
      <c r="H3" s="17"/>
      <c r="I3" s="17"/>
      <c r="J3" s="18" t="s">
        <v>32</v>
      </c>
      <c r="K3" s="11">
        <v>1</v>
      </c>
      <c r="L3" s="29">
        <v>234</v>
      </c>
      <c r="M3" s="30" t="s">
        <v>43</v>
      </c>
      <c r="N3" s="21">
        <v>10200</v>
      </c>
      <c r="O3" s="31">
        <v>4.2000000000000003E-2</v>
      </c>
      <c r="P3" s="11">
        <v>2001</v>
      </c>
      <c r="Q3" s="11" t="s">
        <v>44</v>
      </c>
      <c r="R3" s="27"/>
      <c r="S3" s="27" t="s">
        <v>172</v>
      </c>
      <c r="T3" s="27"/>
      <c r="U3" s="27"/>
      <c r="V3" s="27"/>
      <c r="W3" s="27"/>
      <c r="X3" s="27"/>
      <c r="Y3" s="27"/>
      <c r="Z3" s="27"/>
      <c r="AA3" s="27"/>
      <c r="AB3" s="27"/>
      <c r="AC3" s="23" t="s">
        <v>45</v>
      </c>
      <c r="AD3" s="23" t="s">
        <v>46</v>
      </c>
      <c r="AE3" s="1" t="s">
        <v>47</v>
      </c>
      <c r="AF3" s="1" t="s">
        <v>48</v>
      </c>
      <c r="AG3" s="24" t="s">
        <v>49</v>
      </c>
      <c r="AH3" s="24" t="s">
        <v>38</v>
      </c>
      <c r="AI3" s="25">
        <f>_xlfn.XLOOKUP($P3,'[1]Critieria List'!$L$3:$L$5,'[1]Critieria List'!$K$3:$K$5,,1)</f>
        <v>2</v>
      </c>
      <c r="AJ3" s="25">
        <f>_xlfn.XLOOKUP(O3,'[1]Critieria List'!$C$3:$C$6,'[1]Critieria List'!$B$3:$B$6,,1)</f>
        <v>3</v>
      </c>
      <c r="AK3" s="25">
        <f>_xlfn.XLOOKUP(AD3,'[1]Critieria List'!$F$3:$F$12,'[1]Critieria List'!$E$3:$E$12,,0)</f>
        <v>3</v>
      </c>
      <c r="AL3" s="25"/>
      <c r="AM3" s="26">
        <v>2</v>
      </c>
      <c r="AN3" s="27">
        <v>3</v>
      </c>
      <c r="AO3" s="27">
        <v>3</v>
      </c>
      <c r="AP3" s="27">
        <v>3</v>
      </c>
      <c r="AQ3" s="2" t="s">
        <v>39</v>
      </c>
      <c r="AR3" s="1" t="e">
        <v>#N/A</v>
      </c>
      <c r="AS3" s="1" t="s">
        <v>181</v>
      </c>
      <c r="AT3" s="48" t="s">
        <v>183</v>
      </c>
    </row>
    <row r="4" spans="2:46" ht="48" collapsed="1" x14ac:dyDescent="0.4">
      <c r="B4" s="12" t="s">
        <v>50</v>
      </c>
      <c r="C4" s="12" t="s">
        <v>51</v>
      </c>
      <c r="D4" s="32" t="s">
        <v>52</v>
      </c>
      <c r="E4" s="14">
        <v>4.8</v>
      </c>
      <c r="F4" s="15">
        <v>2.6999999999999997</v>
      </c>
      <c r="G4" s="16">
        <v>2.1</v>
      </c>
      <c r="H4" s="17"/>
      <c r="I4" s="17"/>
      <c r="J4" s="18" t="s">
        <v>53</v>
      </c>
      <c r="K4" s="23"/>
      <c r="L4" s="29">
        <v>47</v>
      </c>
      <c r="M4" s="30" t="s">
        <v>43</v>
      </c>
      <c r="N4" s="21">
        <v>15500</v>
      </c>
      <c r="O4" s="33">
        <v>0.01</v>
      </c>
      <c r="P4" s="11">
        <v>1971</v>
      </c>
      <c r="Q4" s="11"/>
      <c r="R4" s="11"/>
      <c r="S4" s="11" t="s">
        <v>171</v>
      </c>
      <c r="T4" s="11"/>
      <c r="U4" s="11"/>
      <c r="V4" s="11"/>
      <c r="W4" s="11"/>
      <c r="X4" s="11"/>
      <c r="Y4" s="11"/>
      <c r="Z4" s="11"/>
      <c r="AA4" s="11"/>
      <c r="AB4" s="11"/>
      <c r="AC4" s="23" t="s">
        <v>54</v>
      </c>
      <c r="AD4" s="23" t="s">
        <v>35</v>
      </c>
      <c r="AE4" s="1" t="s">
        <v>0</v>
      </c>
      <c r="AF4" s="1" t="s">
        <v>55</v>
      </c>
      <c r="AG4" s="24"/>
      <c r="AH4" s="24" t="s">
        <v>38</v>
      </c>
      <c r="AI4" s="25">
        <f>_xlfn.XLOOKUP($P4,'[1]Critieria List'!$L$3:$L$5,'[1]Critieria List'!$K$3:$K$5,,1)</f>
        <v>3</v>
      </c>
      <c r="AJ4" s="25">
        <f>_xlfn.XLOOKUP(O4,'[1]Critieria List'!$C$3:$C$6,'[1]Critieria List'!$B$3:$B$6,,1)</f>
        <v>3</v>
      </c>
      <c r="AK4" s="25">
        <f>_xlfn.XLOOKUP(AD4,'[1]Critieria List'!$F$3:$F$12,'[1]Critieria List'!$E$3:$E$12,,0)</f>
        <v>3</v>
      </c>
      <c r="AL4" s="25"/>
      <c r="AM4" s="26">
        <v>2</v>
      </c>
      <c r="AN4" s="27">
        <v>3</v>
      </c>
      <c r="AO4" s="27">
        <v>1</v>
      </c>
      <c r="AP4" s="27">
        <v>2</v>
      </c>
      <c r="AQ4" s="2" t="s">
        <v>39</v>
      </c>
      <c r="AR4" s="1">
        <v>3</v>
      </c>
      <c r="AS4" s="1" t="s">
        <v>182</v>
      </c>
      <c r="AT4" s="48" t="s">
        <v>183</v>
      </c>
    </row>
    <row r="5" spans="2:46" ht="54.4" customHeight="1" x14ac:dyDescent="0.4">
      <c r="B5" s="34" t="s">
        <v>50</v>
      </c>
      <c r="C5" s="12" t="s">
        <v>51</v>
      </c>
      <c r="D5" s="32" t="s">
        <v>56</v>
      </c>
      <c r="E5" s="14">
        <v>4.8</v>
      </c>
      <c r="F5" s="15">
        <v>2.6999999999999997</v>
      </c>
      <c r="G5" s="16">
        <v>2.1</v>
      </c>
      <c r="H5" s="17"/>
      <c r="I5" s="17"/>
      <c r="J5" s="18" t="s">
        <v>53</v>
      </c>
      <c r="K5" s="23"/>
      <c r="L5" s="29">
        <v>49</v>
      </c>
      <c r="M5" s="30" t="s">
        <v>43</v>
      </c>
      <c r="N5" s="21">
        <v>15500</v>
      </c>
      <c r="O5" s="33">
        <v>0.01</v>
      </c>
      <c r="P5" s="11">
        <v>1971</v>
      </c>
      <c r="Q5" s="11"/>
      <c r="R5" s="11"/>
      <c r="S5" s="11" t="s">
        <v>171</v>
      </c>
      <c r="T5" s="11"/>
      <c r="U5" s="11"/>
      <c r="V5" s="11"/>
      <c r="W5" s="11"/>
      <c r="X5" s="11"/>
      <c r="Y5" s="11"/>
      <c r="Z5" s="11"/>
      <c r="AA5" s="11"/>
      <c r="AB5" s="11"/>
      <c r="AC5" s="23" t="s">
        <v>54</v>
      </c>
      <c r="AD5" s="23" t="s">
        <v>35</v>
      </c>
      <c r="AE5" s="1" t="s">
        <v>0</v>
      </c>
      <c r="AF5" s="1" t="s">
        <v>55</v>
      </c>
      <c r="AG5" s="24"/>
      <c r="AH5" s="24" t="s">
        <v>38</v>
      </c>
      <c r="AI5" s="25">
        <f>_xlfn.XLOOKUP($P5,'[1]Critieria List'!$L$3:$L$5,'[1]Critieria List'!$K$3:$K$5,,1)</f>
        <v>3</v>
      </c>
      <c r="AJ5" s="25">
        <f>_xlfn.XLOOKUP(O5,'[1]Critieria List'!$C$3:$C$6,'[1]Critieria List'!$B$3:$B$6,,1)</f>
        <v>3</v>
      </c>
      <c r="AK5" s="25">
        <f>_xlfn.XLOOKUP(AD5,'[1]Critieria List'!$F$3:$F$12,'[1]Critieria List'!$E$3:$E$12,,0)</f>
        <v>3</v>
      </c>
      <c r="AL5" s="25"/>
      <c r="AM5" s="26">
        <v>2</v>
      </c>
      <c r="AN5" s="27">
        <v>3</v>
      </c>
      <c r="AO5" s="27">
        <v>1</v>
      </c>
      <c r="AP5" s="27">
        <v>2</v>
      </c>
      <c r="AQ5" s="2" t="s">
        <v>39</v>
      </c>
      <c r="AR5" s="1">
        <v>3</v>
      </c>
      <c r="AS5" s="1" t="s">
        <v>182</v>
      </c>
      <c r="AT5" s="48" t="s">
        <v>183</v>
      </c>
    </row>
    <row r="6" spans="2:46" ht="34.5" customHeight="1" x14ac:dyDescent="0.4">
      <c r="B6" s="34" t="s">
        <v>57</v>
      </c>
      <c r="C6" s="12" t="s">
        <v>58</v>
      </c>
      <c r="D6" s="13" t="s">
        <v>59</v>
      </c>
      <c r="E6" s="14">
        <v>4.8</v>
      </c>
      <c r="F6" s="15">
        <v>2.6999999999999997</v>
      </c>
      <c r="G6" s="16">
        <v>2.1</v>
      </c>
      <c r="H6" s="17"/>
      <c r="I6" s="17"/>
      <c r="J6" s="18" t="s">
        <v>53</v>
      </c>
      <c r="K6" s="11">
        <v>1</v>
      </c>
      <c r="L6" s="29">
        <v>1700</v>
      </c>
      <c r="M6" s="30"/>
      <c r="N6" s="35">
        <v>11200</v>
      </c>
      <c r="O6" s="31">
        <v>0.1726</v>
      </c>
      <c r="P6" s="11">
        <v>1976</v>
      </c>
      <c r="Q6" s="11"/>
      <c r="R6" s="27"/>
      <c r="S6" s="27" t="s">
        <v>173</v>
      </c>
      <c r="T6" s="27"/>
      <c r="U6" s="27"/>
      <c r="V6" s="27"/>
      <c r="W6" s="27"/>
      <c r="X6" s="27"/>
      <c r="Y6" s="27"/>
      <c r="Z6" s="27"/>
      <c r="AA6" s="27"/>
      <c r="AB6" s="27"/>
      <c r="AC6" s="23" t="s">
        <v>60</v>
      </c>
      <c r="AD6" s="23" t="s">
        <v>46</v>
      </c>
      <c r="AF6" s="1" t="s">
        <v>61</v>
      </c>
      <c r="AG6" s="27">
        <v>700</v>
      </c>
      <c r="AH6" s="24" t="s">
        <v>38</v>
      </c>
      <c r="AI6" s="25">
        <f>_xlfn.XLOOKUP($P6,'[1]Critieria List'!$L$3:$L$5,'[1]Critieria List'!$K$3:$K$5,,1)</f>
        <v>3</v>
      </c>
      <c r="AJ6" s="25">
        <f>_xlfn.XLOOKUP(O6,'[1]Critieria List'!$C$3:$C$6,'[1]Critieria List'!$B$3:$B$6,,1)</f>
        <v>2</v>
      </c>
      <c r="AK6" s="25">
        <f>_xlfn.XLOOKUP(AD6,'[1]Critieria List'!$F$3:$F$12,'[1]Critieria List'!$E$3:$E$12,,0)</f>
        <v>3</v>
      </c>
      <c r="AL6" s="25"/>
      <c r="AM6" s="26">
        <v>2</v>
      </c>
      <c r="AN6" s="27">
        <v>3</v>
      </c>
      <c r="AO6" s="27">
        <v>2</v>
      </c>
      <c r="AP6" s="1">
        <v>1</v>
      </c>
      <c r="AR6" s="1">
        <v>3</v>
      </c>
      <c r="AS6" s="1" t="s">
        <v>182</v>
      </c>
      <c r="AT6" s="48" t="s">
        <v>183</v>
      </c>
    </row>
    <row r="7" spans="2:46" ht="34.5" customHeight="1" x14ac:dyDescent="0.4">
      <c r="B7" s="34" t="s">
        <v>62</v>
      </c>
      <c r="C7" s="12" t="s">
        <v>63</v>
      </c>
      <c r="D7" s="13" t="s">
        <v>64</v>
      </c>
      <c r="E7" s="14">
        <v>4.3999999999999995</v>
      </c>
      <c r="F7" s="15">
        <v>1.9999999999999998</v>
      </c>
      <c r="G7" s="16">
        <v>2.4</v>
      </c>
      <c r="H7" s="17"/>
      <c r="I7" s="17"/>
      <c r="J7" s="18" t="s">
        <v>32</v>
      </c>
      <c r="K7" s="11"/>
      <c r="L7" s="29">
        <v>566</v>
      </c>
      <c r="M7" s="30" t="s">
        <v>65</v>
      </c>
      <c r="N7" s="21">
        <v>6130</v>
      </c>
      <c r="O7" s="31">
        <v>0.77310000000000001</v>
      </c>
      <c r="P7" s="11">
        <v>2019</v>
      </c>
      <c r="Q7" s="11" t="s">
        <v>66</v>
      </c>
      <c r="R7" s="11"/>
      <c r="S7" s="11" t="s">
        <v>174</v>
      </c>
      <c r="T7" s="11"/>
      <c r="U7" s="11"/>
      <c r="V7" s="11"/>
      <c r="W7" s="11"/>
      <c r="X7" s="11"/>
      <c r="Y7" s="11"/>
      <c r="Z7" s="11"/>
      <c r="AA7" s="11"/>
      <c r="AB7" s="11"/>
      <c r="AC7" s="23" t="s">
        <v>67</v>
      </c>
      <c r="AD7" s="23" t="s">
        <v>46</v>
      </c>
      <c r="AE7" s="1" t="s">
        <v>68</v>
      </c>
      <c r="AF7" s="1" t="s">
        <v>69</v>
      </c>
      <c r="AG7" s="36"/>
      <c r="AH7" s="24" t="s">
        <v>38</v>
      </c>
      <c r="AI7" s="25">
        <f>_xlfn.XLOOKUP($P7,'[1]Critieria List'!$L$3:$L$5,'[1]Critieria List'!$K$3:$K$5,,1)</f>
        <v>1</v>
      </c>
      <c r="AJ7" s="25">
        <f>_xlfn.XLOOKUP(O7,'[1]Critieria List'!$C$3:$C$6,'[1]Critieria List'!$B$3:$B$6,,1)</f>
        <v>1</v>
      </c>
      <c r="AK7" s="25">
        <f>_xlfn.XLOOKUP(AD7,'[1]Critieria List'!$F$3:$F$12,'[1]Critieria List'!$E$3:$E$12,,0)</f>
        <v>3</v>
      </c>
      <c r="AL7" s="25"/>
      <c r="AM7" s="26">
        <v>2</v>
      </c>
      <c r="AN7" s="27">
        <v>3</v>
      </c>
      <c r="AO7" s="27">
        <v>3</v>
      </c>
      <c r="AP7" s="27">
        <v>1</v>
      </c>
      <c r="AQ7" s="2" t="s">
        <v>39</v>
      </c>
      <c r="AR7" s="1">
        <v>2</v>
      </c>
      <c r="AS7" s="1" t="s">
        <v>180</v>
      </c>
      <c r="AT7" s="48" t="s">
        <v>183</v>
      </c>
    </row>
    <row r="8" spans="2:46" ht="34.5" customHeight="1" x14ac:dyDescent="0.4">
      <c r="B8" s="34" t="s">
        <v>62</v>
      </c>
      <c r="C8" s="12" t="s">
        <v>63</v>
      </c>
      <c r="D8" s="13" t="s">
        <v>70</v>
      </c>
      <c r="E8" s="14">
        <v>4.3499999999999996</v>
      </c>
      <c r="F8" s="15">
        <v>2.4</v>
      </c>
      <c r="G8" s="16">
        <v>1.9499999999999997</v>
      </c>
      <c r="H8" s="17"/>
      <c r="I8" s="17"/>
      <c r="J8" s="18" t="s">
        <v>32</v>
      </c>
      <c r="K8" s="11">
        <v>1</v>
      </c>
      <c r="L8" s="29">
        <v>695</v>
      </c>
      <c r="M8" s="30" t="s">
        <v>33</v>
      </c>
      <c r="N8" s="21">
        <v>12500</v>
      </c>
      <c r="O8" s="33">
        <v>0.03</v>
      </c>
      <c r="P8" s="11">
        <v>1965</v>
      </c>
      <c r="Q8" s="11" t="s">
        <v>66</v>
      </c>
      <c r="R8" s="27"/>
      <c r="S8" s="27" t="s">
        <v>172</v>
      </c>
      <c r="T8" s="27"/>
      <c r="U8" s="27"/>
      <c r="V8" s="27"/>
      <c r="W8" s="27"/>
      <c r="X8" s="27"/>
      <c r="Y8" s="27"/>
      <c r="Z8" s="27"/>
      <c r="AA8" s="27"/>
      <c r="AB8" s="27"/>
      <c r="AC8" s="23" t="s">
        <v>67</v>
      </c>
      <c r="AD8" s="23" t="s">
        <v>46</v>
      </c>
      <c r="AE8" s="1" t="s">
        <v>71</v>
      </c>
      <c r="AF8" s="1" t="s">
        <v>72</v>
      </c>
      <c r="AG8" s="36">
        <v>160</v>
      </c>
      <c r="AH8" s="24" t="s">
        <v>38</v>
      </c>
      <c r="AI8" s="25">
        <f>_xlfn.XLOOKUP($P8,'[1]Critieria List'!$L$3:$L$5,'[1]Critieria List'!$K$3:$K$5,,1)</f>
        <v>3</v>
      </c>
      <c r="AJ8" s="25">
        <f>_xlfn.XLOOKUP(O8,'[1]Critieria List'!$C$3:$C$6,'[1]Critieria List'!$B$3:$B$6,,1)</f>
        <v>3</v>
      </c>
      <c r="AK8" s="25">
        <f>_xlfn.XLOOKUP(AD8,'[1]Critieria List'!$F$3:$F$12,'[1]Critieria List'!$E$3:$E$12,,0)</f>
        <v>3</v>
      </c>
      <c r="AL8" s="25"/>
      <c r="AM8" s="26">
        <v>2</v>
      </c>
      <c r="AN8" s="27">
        <v>2</v>
      </c>
      <c r="AO8" s="27">
        <v>3</v>
      </c>
      <c r="AP8" s="27">
        <v>3</v>
      </c>
      <c r="AQ8" s="2" t="s">
        <v>73</v>
      </c>
      <c r="AR8" s="1">
        <v>2</v>
      </c>
      <c r="AS8" s="1" t="s">
        <v>180</v>
      </c>
      <c r="AT8" s="48" t="s">
        <v>183</v>
      </c>
    </row>
    <row r="9" spans="2:46" ht="34.5" customHeight="1" x14ac:dyDescent="0.4">
      <c r="B9" s="34" t="s">
        <v>62</v>
      </c>
      <c r="C9" s="12" t="s">
        <v>63</v>
      </c>
      <c r="D9" s="13" t="s">
        <v>74</v>
      </c>
      <c r="E9" s="14">
        <v>4.3499999999999996</v>
      </c>
      <c r="F9" s="15">
        <v>2.4</v>
      </c>
      <c r="G9" s="16">
        <v>1.9499999999999997</v>
      </c>
      <c r="H9" s="17"/>
      <c r="I9" s="17"/>
      <c r="J9" s="18" t="s">
        <v>32</v>
      </c>
      <c r="K9" s="11">
        <v>1</v>
      </c>
      <c r="L9" s="29">
        <v>1132</v>
      </c>
      <c r="M9" s="30" t="s">
        <v>65</v>
      </c>
      <c r="N9" s="21">
        <v>8500</v>
      </c>
      <c r="O9" s="31">
        <v>0.18</v>
      </c>
      <c r="P9" s="11">
        <v>1989</v>
      </c>
      <c r="Q9" s="11" t="s">
        <v>66</v>
      </c>
      <c r="R9" s="27"/>
      <c r="S9" s="27" t="s">
        <v>172</v>
      </c>
      <c r="T9" s="27"/>
      <c r="U9" s="27"/>
      <c r="V9" s="27"/>
      <c r="W9" s="27"/>
      <c r="X9" s="27"/>
      <c r="Y9" s="27"/>
      <c r="Z9" s="27"/>
      <c r="AA9" s="27"/>
      <c r="AB9" s="27"/>
      <c r="AC9" s="23" t="s">
        <v>67</v>
      </c>
      <c r="AD9" s="23" t="s">
        <v>46</v>
      </c>
      <c r="AE9" s="1" t="s">
        <v>71</v>
      </c>
      <c r="AF9" s="1" t="s">
        <v>72</v>
      </c>
      <c r="AG9" s="36">
        <v>160</v>
      </c>
      <c r="AH9" s="24" t="s">
        <v>75</v>
      </c>
      <c r="AI9" s="25">
        <f>_xlfn.XLOOKUP($P9,'[1]Critieria List'!$L$3:$L$5,'[1]Critieria List'!$K$3:$K$5,,1)</f>
        <v>3</v>
      </c>
      <c r="AJ9" s="25">
        <f>_xlfn.XLOOKUP(O9,'[1]Critieria List'!$C$3:$C$6,'[1]Critieria List'!$B$3:$B$6,,1)</f>
        <v>2</v>
      </c>
      <c r="AK9" s="25">
        <f>_xlfn.XLOOKUP(AD9,'[1]Critieria List'!$F$3:$F$12,'[1]Critieria List'!$E$3:$E$12,,0)</f>
        <v>3</v>
      </c>
      <c r="AL9" s="25"/>
      <c r="AM9" s="26">
        <v>2</v>
      </c>
      <c r="AN9" s="27">
        <v>2</v>
      </c>
      <c r="AO9" s="27">
        <v>3</v>
      </c>
      <c r="AP9" s="27">
        <v>3</v>
      </c>
      <c r="AQ9" s="2" t="s">
        <v>73</v>
      </c>
      <c r="AR9" s="1">
        <v>2</v>
      </c>
      <c r="AS9" s="1" t="s">
        <v>180</v>
      </c>
      <c r="AT9" s="48" t="s">
        <v>183</v>
      </c>
    </row>
    <row r="10" spans="2:46" ht="34.5" customHeight="1" x14ac:dyDescent="0.4">
      <c r="B10" s="34" t="s">
        <v>62</v>
      </c>
      <c r="C10" s="12" t="s">
        <v>63</v>
      </c>
      <c r="D10" s="13" t="s">
        <v>76</v>
      </c>
      <c r="E10" s="14">
        <v>4.3</v>
      </c>
      <c r="F10" s="15">
        <v>2.1999999999999997</v>
      </c>
      <c r="G10" s="16">
        <v>2.1</v>
      </c>
      <c r="H10" s="17"/>
      <c r="I10" s="17"/>
      <c r="J10" s="18" t="s">
        <v>32</v>
      </c>
      <c r="K10" s="11"/>
      <c r="L10" s="29">
        <v>1134</v>
      </c>
      <c r="M10" s="30" t="s">
        <v>65</v>
      </c>
      <c r="N10" s="21">
        <v>8074</v>
      </c>
      <c r="O10" s="31">
        <v>0.59509999999999996</v>
      </c>
      <c r="P10" s="11">
        <v>2003</v>
      </c>
      <c r="Q10" s="11" t="s">
        <v>77</v>
      </c>
      <c r="R10" s="11"/>
      <c r="S10" s="11" t="s">
        <v>175</v>
      </c>
      <c r="T10" s="11"/>
      <c r="U10" s="11"/>
      <c r="V10" s="11"/>
      <c r="W10" s="11"/>
      <c r="X10" s="11"/>
      <c r="Y10" s="11"/>
      <c r="Z10" s="11"/>
      <c r="AA10" s="11"/>
      <c r="AB10" s="11"/>
      <c r="AC10" s="23" t="s">
        <v>67</v>
      </c>
      <c r="AD10" s="23" t="s">
        <v>46</v>
      </c>
      <c r="AE10" s="1" t="s">
        <v>68</v>
      </c>
      <c r="AF10" s="1" t="s">
        <v>78</v>
      </c>
      <c r="AG10" s="36"/>
      <c r="AH10" s="24" t="s">
        <v>38</v>
      </c>
      <c r="AI10" s="25">
        <f>_xlfn.XLOOKUP($P10,'[1]Critieria List'!$L$3:$L$5,'[1]Critieria List'!$K$3:$K$5,,1)</f>
        <v>2</v>
      </c>
      <c r="AJ10" s="25">
        <f>_xlfn.XLOOKUP(O10,'[1]Critieria List'!$C$3:$C$6,'[1]Critieria List'!$B$3:$B$6,,1)</f>
        <v>1</v>
      </c>
      <c r="AK10" s="25">
        <f>_xlfn.XLOOKUP(AD10,'[1]Critieria List'!$F$3:$F$12,'[1]Critieria List'!$E$3:$E$12,,0)</f>
        <v>3</v>
      </c>
      <c r="AL10" s="25"/>
      <c r="AM10" s="26">
        <v>2</v>
      </c>
      <c r="AN10" s="27">
        <v>3</v>
      </c>
      <c r="AO10" s="27">
        <v>2</v>
      </c>
      <c r="AP10" s="27">
        <v>1</v>
      </c>
      <c r="AQ10" s="2" t="s">
        <v>39</v>
      </c>
      <c r="AR10" s="1">
        <v>2</v>
      </c>
      <c r="AS10" s="1" t="s">
        <v>180</v>
      </c>
      <c r="AT10" s="48" t="s">
        <v>183</v>
      </c>
    </row>
    <row r="11" spans="2:46" ht="34.5" customHeight="1" x14ac:dyDescent="0.4">
      <c r="B11" s="37" t="s">
        <v>50</v>
      </c>
      <c r="C11" s="12" t="s">
        <v>51</v>
      </c>
      <c r="D11" s="32" t="s">
        <v>79</v>
      </c>
      <c r="E11" s="14">
        <v>4.25</v>
      </c>
      <c r="F11" s="15">
        <v>2.6999999999999997</v>
      </c>
      <c r="G11" s="16">
        <v>1.55</v>
      </c>
      <c r="H11" s="17"/>
      <c r="I11" s="17"/>
      <c r="J11" s="18" t="s">
        <v>53</v>
      </c>
      <c r="K11" s="11">
        <v>8</v>
      </c>
      <c r="L11" s="29">
        <v>102</v>
      </c>
      <c r="M11" s="30" t="s">
        <v>65</v>
      </c>
      <c r="N11" s="21">
        <v>9000</v>
      </c>
      <c r="O11" s="33">
        <v>0.01</v>
      </c>
      <c r="P11" s="11">
        <v>1992</v>
      </c>
      <c r="Q11" s="11" t="s">
        <v>80</v>
      </c>
      <c r="R11" s="11"/>
      <c r="S11" s="11" t="s">
        <v>176</v>
      </c>
      <c r="T11" s="11"/>
      <c r="U11" s="11"/>
      <c r="V11" s="11"/>
      <c r="W11" s="11"/>
      <c r="X11" s="11"/>
      <c r="Y11" s="11"/>
      <c r="Z11" s="11"/>
      <c r="AA11" s="11"/>
      <c r="AB11" s="11"/>
      <c r="AC11" s="23" t="s">
        <v>54</v>
      </c>
      <c r="AD11" s="23" t="s">
        <v>35</v>
      </c>
      <c r="AE11" s="1" t="s">
        <v>81</v>
      </c>
      <c r="AF11" s="1" t="s">
        <v>55</v>
      </c>
      <c r="AG11" s="24" t="s">
        <v>82</v>
      </c>
      <c r="AH11" s="24" t="s">
        <v>38</v>
      </c>
      <c r="AI11" s="25">
        <f>_xlfn.XLOOKUP($P11,'[1]Critieria List'!$L$3:$L$5,'[1]Critieria List'!$K$3:$K$5,,1)</f>
        <v>3</v>
      </c>
      <c r="AJ11" s="25">
        <f>_xlfn.XLOOKUP($O11,'[1]Critieria List'!$C$3:$C$6,'[1]Critieria List'!$B$3:$B$6,,1)</f>
        <v>3</v>
      </c>
      <c r="AK11" s="25">
        <f>_xlfn.XLOOKUP($AD11,'[1]Critieria List'!$F$3:$F$12,'[1]Critieria List'!$E$3:$E$12,,0)</f>
        <v>3</v>
      </c>
      <c r="AL11" s="28"/>
      <c r="AM11" s="26">
        <v>2</v>
      </c>
      <c r="AN11" s="28">
        <v>2</v>
      </c>
      <c r="AO11" s="28">
        <v>1.5</v>
      </c>
      <c r="AP11" s="28">
        <v>1</v>
      </c>
      <c r="AQ11" s="2" t="s">
        <v>39</v>
      </c>
      <c r="AR11" s="1">
        <v>3</v>
      </c>
      <c r="AS11" s="1" t="s">
        <v>182</v>
      </c>
      <c r="AT11" s="48" t="s">
        <v>183</v>
      </c>
    </row>
    <row r="12" spans="2:46" ht="34.5" customHeight="1" x14ac:dyDescent="0.4">
      <c r="B12" s="37" t="s">
        <v>83</v>
      </c>
      <c r="C12" s="12" t="s">
        <v>84</v>
      </c>
      <c r="D12" s="13" t="s">
        <v>85</v>
      </c>
      <c r="E12" s="14">
        <v>4.25</v>
      </c>
      <c r="F12" s="15">
        <v>2.4</v>
      </c>
      <c r="G12" s="16">
        <v>1.85</v>
      </c>
      <c r="H12" s="17"/>
      <c r="I12" s="17"/>
      <c r="J12" s="18" t="s">
        <v>32</v>
      </c>
      <c r="K12" s="23"/>
      <c r="L12" s="29">
        <v>219</v>
      </c>
      <c r="M12" s="30"/>
      <c r="N12" s="21">
        <v>8900</v>
      </c>
      <c r="O12" s="33">
        <v>0.26</v>
      </c>
      <c r="P12" s="11">
        <v>1992</v>
      </c>
      <c r="Q12" s="11"/>
      <c r="R12" s="11"/>
      <c r="S12" s="11" t="s">
        <v>177</v>
      </c>
      <c r="T12" s="11"/>
      <c r="U12" s="11"/>
      <c r="V12" s="11"/>
      <c r="W12" s="11"/>
      <c r="X12" s="11"/>
      <c r="Y12" s="11"/>
      <c r="Z12" s="11"/>
      <c r="AA12" s="11"/>
      <c r="AB12" s="11"/>
      <c r="AC12" s="23" t="s">
        <v>86</v>
      </c>
      <c r="AD12" s="23" t="s">
        <v>35</v>
      </c>
      <c r="AE12" s="1" t="s">
        <v>87</v>
      </c>
      <c r="AF12" s="1" t="s">
        <v>55</v>
      </c>
      <c r="AG12" s="24"/>
      <c r="AH12" s="24" t="s">
        <v>38</v>
      </c>
      <c r="AI12" s="25">
        <f>_xlfn.XLOOKUP($P12,'[1]Critieria List'!$L$3:$L$5,'[1]Critieria List'!$K$3:$K$5,,1)</f>
        <v>3</v>
      </c>
      <c r="AJ12" s="25">
        <f>_xlfn.XLOOKUP(O12,'[1]Critieria List'!$C$3:$C$6,'[1]Critieria List'!$B$3:$B$6,,1)</f>
        <v>1</v>
      </c>
      <c r="AK12" s="25">
        <f>_xlfn.XLOOKUP(AD12,'[1]Critieria List'!$F$3:$F$12,'[1]Critieria List'!$E$3:$E$12,,0)</f>
        <v>3</v>
      </c>
      <c r="AL12" s="25"/>
      <c r="AM12" s="26">
        <v>2</v>
      </c>
      <c r="AN12" s="27">
        <v>2</v>
      </c>
      <c r="AO12" s="27">
        <f>2.5</f>
        <v>2.5</v>
      </c>
      <c r="AP12" s="27">
        <v>1</v>
      </c>
      <c r="AQ12" s="2" t="s">
        <v>39</v>
      </c>
      <c r="AR12" s="1">
        <v>2</v>
      </c>
      <c r="AS12" s="1" t="s">
        <v>180</v>
      </c>
      <c r="AT12" s="48" t="s">
        <v>183</v>
      </c>
    </row>
    <row r="13" spans="2:46" ht="34.5" customHeight="1" x14ac:dyDescent="0.4">
      <c r="B13" s="37" t="s">
        <v>50</v>
      </c>
      <c r="C13" s="12" t="s">
        <v>51</v>
      </c>
      <c r="D13" s="32" t="s">
        <v>88</v>
      </c>
      <c r="E13" s="14">
        <v>3.9499999999999997</v>
      </c>
      <c r="F13" s="15">
        <v>2.6999999999999997</v>
      </c>
      <c r="G13" s="16">
        <v>1.25</v>
      </c>
      <c r="H13" s="17"/>
      <c r="I13" s="17"/>
      <c r="J13" s="18" t="s">
        <v>53</v>
      </c>
      <c r="K13" s="23"/>
      <c r="L13" s="30" t="s">
        <v>89</v>
      </c>
      <c r="M13" s="30" t="s">
        <v>33</v>
      </c>
      <c r="N13" s="21">
        <v>7916</v>
      </c>
      <c r="O13" s="33">
        <v>0</v>
      </c>
      <c r="P13" s="11">
        <v>1993</v>
      </c>
      <c r="Q13" s="11"/>
      <c r="R13" s="11"/>
      <c r="S13" s="11" t="s">
        <v>171</v>
      </c>
      <c r="T13" s="11"/>
      <c r="U13" s="11"/>
      <c r="V13" s="11"/>
      <c r="W13" s="11"/>
      <c r="X13" s="11"/>
      <c r="Y13" s="11"/>
      <c r="Z13" s="11"/>
      <c r="AA13" s="11"/>
      <c r="AB13" s="11"/>
      <c r="AC13" s="23" t="s">
        <v>54</v>
      </c>
      <c r="AD13" s="23" t="s">
        <v>35</v>
      </c>
      <c r="AE13" s="1" t="s">
        <v>81</v>
      </c>
      <c r="AF13" s="1" t="s">
        <v>90</v>
      </c>
      <c r="AG13" s="24"/>
      <c r="AH13" s="24" t="s">
        <v>38</v>
      </c>
      <c r="AI13" s="25">
        <f>_xlfn.XLOOKUP($P13,'[1]Critieria List'!$L$3:$L$5,'[1]Critieria List'!$K$3:$K$5,,1)</f>
        <v>3</v>
      </c>
      <c r="AJ13" s="25">
        <f>_xlfn.XLOOKUP(O13,'[1]Critieria List'!$C$3:$C$6,'[1]Critieria List'!$B$3:$B$6,,1)</f>
        <v>3</v>
      </c>
      <c r="AK13" s="25">
        <f>_xlfn.XLOOKUP(AD13,'[1]Critieria List'!$F$3:$F$12,'[1]Critieria List'!$E$3:$E$12,,0)</f>
        <v>3</v>
      </c>
      <c r="AL13" s="25"/>
      <c r="AM13" s="26">
        <v>2</v>
      </c>
      <c r="AN13" s="27">
        <v>2</v>
      </c>
      <c r="AO13" s="27">
        <v>1</v>
      </c>
      <c r="AP13" s="27">
        <v>0.5</v>
      </c>
      <c r="AQ13" s="2" t="s">
        <v>39</v>
      </c>
      <c r="AR13" s="1">
        <v>3</v>
      </c>
      <c r="AS13" s="1" t="s">
        <v>182</v>
      </c>
      <c r="AT13" s="48" t="s">
        <v>183</v>
      </c>
    </row>
    <row r="14" spans="2:46" ht="34.15" customHeight="1" x14ac:dyDescent="0.4">
      <c r="B14" s="37" t="s">
        <v>40</v>
      </c>
      <c r="C14" s="12" t="s">
        <v>41</v>
      </c>
      <c r="D14" s="13" t="s">
        <v>91</v>
      </c>
      <c r="E14" s="14">
        <v>2.0250000000000004</v>
      </c>
      <c r="F14" s="15">
        <v>0</v>
      </c>
      <c r="G14" s="16">
        <v>2.0250000000000004</v>
      </c>
      <c r="H14" s="17"/>
      <c r="I14" s="17"/>
      <c r="J14" s="18" t="s">
        <v>32</v>
      </c>
      <c r="K14" s="11">
        <v>1</v>
      </c>
      <c r="L14" s="29">
        <v>124</v>
      </c>
      <c r="M14" s="30" t="s">
        <v>43</v>
      </c>
      <c r="N14" s="21">
        <v>15300</v>
      </c>
      <c r="O14" s="31">
        <v>0.02</v>
      </c>
      <c r="P14" s="11">
        <v>1970</v>
      </c>
      <c r="Q14" s="11" t="s">
        <v>92</v>
      </c>
      <c r="R14" s="11"/>
      <c r="S14" s="11" t="s">
        <v>174</v>
      </c>
      <c r="T14" s="11"/>
      <c r="U14" s="11"/>
      <c r="V14" s="11"/>
      <c r="W14" s="11"/>
      <c r="X14" s="11"/>
      <c r="Y14" s="11"/>
      <c r="Z14" s="11"/>
      <c r="AA14" s="11"/>
      <c r="AB14" s="11"/>
      <c r="AC14" s="23" t="s">
        <v>45</v>
      </c>
      <c r="AD14" s="23" t="s">
        <v>46</v>
      </c>
      <c r="AE14" s="1" t="s">
        <v>93</v>
      </c>
      <c r="AF14" s="1" t="s">
        <v>94</v>
      </c>
      <c r="AG14" s="24" t="s">
        <v>95</v>
      </c>
      <c r="AH14" s="24" t="s">
        <v>38</v>
      </c>
      <c r="AI14" s="25">
        <f>_xlfn.XLOOKUP($P14,'[1]Critieria List'!$L$3:$L$5,'[1]Critieria List'!$K$3:$K$5,,1)</f>
        <v>3</v>
      </c>
      <c r="AJ14" s="25">
        <f>_xlfn.XLOOKUP(O14,'[1]Critieria List'!$C$3:$C$6,'[1]Critieria List'!$B$3:$B$6,,1)</f>
        <v>3</v>
      </c>
      <c r="AK14" s="25">
        <f>_xlfn.XLOOKUP(AD14,'[1]Critieria List'!$F$3:$F$12,'[1]Critieria List'!$E$3:$E$12,,0)</f>
        <v>3</v>
      </c>
      <c r="AL14" s="25"/>
      <c r="AM14" s="26">
        <v>0</v>
      </c>
      <c r="AN14" s="27">
        <v>3</v>
      </c>
      <c r="AO14" s="27">
        <v>2</v>
      </c>
      <c r="AP14" s="27">
        <v>3</v>
      </c>
      <c r="AQ14" s="2" t="s">
        <v>73</v>
      </c>
      <c r="AR14" s="1" t="e">
        <v>#N/A</v>
      </c>
      <c r="AS14" s="1" t="s">
        <v>181</v>
      </c>
      <c r="AT14" s="48" t="s">
        <v>183</v>
      </c>
    </row>
    <row r="15" spans="2:46" ht="34.15" customHeight="1" x14ac:dyDescent="0.4">
      <c r="B15" s="37" t="s">
        <v>83</v>
      </c>
      <c r="C15" s="12" t="s">
        <v>84</v>
      </c>
      <c r="D15" s="13" t="s">
        <v>96</v>
      </c>
      <c r="E15" s="14">
        <v>3.95</v>
      </c>
      <c r="F15" s="15">
        <v>2.4</v>
      </c>
      <c r="G15" s="16">
        <v>1.55</v>
      </c>
      <c r="H15" s="17"/>
      <c r="I15" s="17"/>
      <c r="J15" s="18" t="s">
        <v>32</v>
      </c>
      <c r="K15" s="23"/>
      <c r="L15" s="29">
        <v>72</v>
      </c>
      <c r="M15" s="30"/>
      <c r="N15" s="21">
        <v>9000</v>
      </c>
      <c r="O15" s="33">
        <v>0.31</v>
      </c>
      <c r="P15" s="11">
        <v>1992</v>
      </c>
      <c r="Q15" s="11"/>
      <c r="R15" s="11"/>
      <c r="S15" s="11"/>
      <c r="T15" s="11"/>
      <c r="U15" s="11"/>
      <c r="V15" s="11"/>
      <c r="W15" s="11"/>
      <c r="X15" s="11"/>
      <c r="Y15" s="11"/>
      <c r="Z15" s="11"/>
      <c r="AA15" s="11"/>
      <c r="AB15" s="11"/>
      <c r="AC15" s="23" t="s">
        <v>86</v>
      </c>
      <c r="AD15" s="23" t="s">
        <v>35</v>
      </c>
      <c r="AE15" s="1" t="s">
        <v>97</v>
      </c>
      <c r="AF15" s="1" t="s">
        <v>98</v>
      </c>
      <c r="AG15" s="24"/>
      <c r="AH15" s="24" t="s">
        <v>38</v>
      </c>
      <c r="AI15" s="25">
        <f>_xlfn.XLOOKUP($P15,'[1]Critieria List'!$L$3:$L$5,'[1]Critieria List'!$K$3:$K$5,,1)</f>
        <v>3</v>
      </c>
      <c r="AJ15" s="25">
        <f>_xlfn.XLOOKUP(O15,'[1]Critieria List'!$C$3:$C$6,'[1]Critieria List'!$B$3:$B$6,,1)</f>
        <v>1</v>
      </c>
      <c r="AK15" s="25">
        <f>_xlfn.XLOOKUP(AD15,'[1]Critieria List'!$F$3:$F$12,'[1]Critieria List'!$E$3:$E$12,,0)</f>
        <v>3</v>
      </c>
      <c r="AL15" s="25"/>
      <c r="AM15" s="26">
        <v>2</v>
      </c>
      <c r="AN15" s="27">
        <v>2</v>
      </c>
      <c r="AO15" s="27">
        <v>1.5</v>
      </c>
      <c r="AP15" s="27">
        <v>1</v>
      </c>
      <c r="AQ15" s="2" t="s">
        <v>39</v>
      </c>
      <c r="AR15" s="1">
        <v>2</v>
      </c>
      <c r="AS15" s="1" t="s">
        <v>180</v>
      </c>
      <c r="AT15" s="48" t="s">
        <v>183</v>
      </c>
    </row>
    <row r="16" spans="2:46" ht="34.5" customHeight="1" x14ac:dyDescent="0.4">
      <c r="B16" s="34" t="s">
        <v>40</v>
      </c>
      <c r="C16" s="12" t="s">
        <v>41</v>
      </c>
      <c r="D16" s="13" t="s">
        <v>99</v>
      </c>
      <c r="E16" s="14">
        <v>1.5750000000000002</v>
      </c>
      <c r="F16" s="15">
        <v>0</v>
      </c>
      <c r="G16" s="16">
        <v>1.5750000000000002</v>
      </c>
      <c r="H16" s="17"/>
      <c r="I16" s="17"/>
      <c r="J16" s="18" t="s">
        <v>32</v>
      </c>
      <c r="K16" s="11">
        <v>1</v>
      </c>
      <c r="L16" s="29">
        <v>25</v>
      </c>
      <c r="M16" s="30" t="s">
        <v>100</v>
      </c>
      <c r="N16" s="21">
        <v>17100</v>
      </c>
      <c r="O16" s="31">
        <v>2E-3</v>
      </c>
      <c r="P16" s="11">
        <v>1968</v>
      </c>
      <c r="Q16" s="11" t="s">
        <v>58</v>
      </c>
      <c r="R16" s="11"/>
      <c r="S16" s="11" t="s">
        <v>174</v>
      </c>
      <c r="T16" s="11"/>
      <c r="U16" s="11"/>
      <c r="V16" s="11"/>
      <c r="W16" s="11"/>
      <c r="X16" s="11"/>
      <c r="Y16" s="11"/>
      <c r="Z16" s="11"/>
      <c r="AA16" s="11"/>
      <c r="AB16" s="11"/>
      <c r="AC16" s="23" t="s">
        <v>45</v>
      </c>
      <c r="AD16" s="23" t="s">
        <v>46</v>
      </c>
      <c r="AE16" s="1" t="s">
        <v>93</v>
      </c>
      <c r="AF16" s="1" t="s">
        <v>101</v>
      </c>
      <c r="AG16" s="24" t="s">
        <v>102</v>
      </c>
      <c r="AH16" s="24" t="s">
        <v>38</v>
      </c>
      <c r="AI16" s="25">
        <f>_xlfn.XLOOKUP($P16,'[1]Critieria List'!$L$3:$L$5,'[1]Critieria List'!$K$3:$K$5,,1)</f>
        <v>3</v>
      </c>
      <c r="AJ16" s="25">
        <f>_xlfn.XLOOKUP(O16,'[1]Critieria List'!$C$3:$C$6,'[1]Critieria List'!$B$3:$B$6,,1)</f>
        <v>3</v>
      </c>
      <c r="AK16" s="25">
        <f>_xlfn.XLOOKUP(AD16,'[1]Critieria List'!$F$3:$F$12,'[1]Critieria List'!$E$3:$E$12,,0)</f>
        <v>3</v>
      </c>
      <c r="AL16" s="25"/>
      <c r="AM16" s="26">
        <v>2</v>
      </c>
      <c r="AN16" s="27">
        <v>3</v>
      </c>
      <c r="AO16" s="27">
        <v>2</v>
      </c>
      <c r="AP16" s="38">
        <v>1</v>
      </c>
      <c r="AQ16" s="2" t="s">
        <v>73</v>
      </c>
      <c r="AR16" s="1" t="e">
        <v>#N/A</v>
      </c>
      <c r="AS16" s="1" t="s">
        <v>181</v>
      </c>
      <c r="AT16" s="48" t="s">
        <v>183</v>
      </c>
    </row>
    <row r="17" spans="2:46" ht="34.5" customHeight="1" x14ac:dyDescent="0.4">
      <c r="B17" s="39" t="s">
        <v>103</v>
      </c>
      <c r="C17" s="12" t="s">
        <v>58</v>
      </c>
      <c r="D17" s="40" t="s">
        <v>104</v>
      </c>
      <c r="E17" s="14">
        <v>2.4</v>
      </c>
      <c r="F17" s="15">
        <v>2.4</v>
      </c>
      <c r="G17" s="16">
        <v>0</v>
      </c>
      <c r="H17" s="17"/>
      <c r="I17" s="17"/>
      <c r="J17" s="18" t="s">
        <v>53</v>
      </c>
      <c r="K17" s="23"/>
      <c r="L17" s="19">
        <v>1131</v>
      </c>
      <c r="M17" s="20" t="s">
        <v>33</v>
      </c>
      <c r="N17" s="21">
        <v>10186</v>
      </c>
      <c r="O17" s="22">
        <v>5.0000000000000001E-3</v>
      </c>
      <c r="P17" s="11">
        <v>1972</v>
      </c>
      <c r="Q17" s="11"/>
      <c r="R17" s="11"/>
      <c r="S17" s="11"/>
      <c r="T17" s="11"/>
      <c r="U17" s="11"/>
      <c r="V17" s="11"/>
      <c r="W17" s="11"/>
      <c r="X17" s="11"/>
      <c r="Y17" s="11"/>
      <c r="Z17" s="11"/>
      <c r="AA17" s="11"/>
      <c r="AB17" s="11"/>
      <c r="AC17" s="23" t="s">
        <v>105</v>
      </c>
      <c r="AD17" s="23" t="s">
        <v>106</v>
      </c>
      <c r="AG17" s="24"/>
      <c r="AH17" s="24" t="s">
        <v>38</v>
      </c>
      <c r="AI17" s="25">
        <f>_xlfn.XLOOKUP($P17,'[1]Critieria List'!$L$3:$L$5,'[1]Critieria List'!$K$3:$K$5,,1)</f>
        <v>3</v>
      </c>
      <c r="AJ17" s="25">
        <f>_xlfn.XLOOKUP(O17,'[1]Critieria List'!$C$3:$C$6,'[1]Critieria List'!$B$3:$B$6,,1)</f>
        <v>3</v>
      </c>
      <c r="AK17" s="25">
        <f>_xlfn.XLOOKUP(AD17,'[1]Critieria List'!$F$3:$F$12,'[1]Critieria List'!$E$3:$E$12,,0)</f>
        <v>3</v>
      </c>
      <c r="AL17" s="25"/>
      <c r="AM17" s="26">
        <v>2</v>
      </c>
      <c r="AN17" s="27">
        <v>3</v>
      </c>
      <c r="AO17" s="27">
        <v>0</v>
      </c>
      <c r="AR17" s="1">
        <v>2</v>
      </c>
      <c r="AS17" s="1" t="s">
        <v>180</v>
      </c>
      <c r="AT17" s="48" t="s">
        <v>183</v>
      </c>
    </row>
    <row r="18" spans="2:46" ht="34.5" customHeight="1" x14ac:dyDescent="0.4">
      <c r="B18" s="37" t="s">
        <v>103</v>
      </c>
      <c r="C18" s="12" t="s">
        <v>58</v>
      </c>
      <c r="D18" s="40" t="s">
        <v>107</v>
      </c>
      <c r="E18" s="14">
        <v>1.9999999999999998</v>
      </c>
      <c r="F18" s="15">
        <v>1.9999999999999998</v>
      </c>
      <c r="G18" s="16">
        <v>0</v>
      </c>
      <c r="H18" s="17"/>
      <c r="I18" s="17"/>
      <c r="J18" s="18" t="s">
        <v>53</v>
      </c>
      <c r="K18" s="23"/>
      <c r="L18" s="19">
        <v>333</v>
      </c>
      <c r="M18" s="20" t="s">
        <v>43</v>
      </c>
      <c r="N18" s="21">
        <v>9759</v>
      </c>
      <c r="O18" s="41">
        <v>0.08</v>
      </c>
      <c r="P18" s="11">
        <v>2019</v>
      </c>
      <c r="Q18" s="11"/>
      <c r="R18" s="11"/>
      <c r="S18" s="11"/>
      <c r="T18" s="11"/>
      <c r="U18" s="11"/>
      <c r="V18" s="11"/>
      <c r="W18" s="11"/>
      <c r="X18" s="11"/>
      <c r="Y18" s="11"/>
      <c r="Z18" s="11"/>
      <c r="AA18" s="11"/>
      <c r="AB18" s="11"/>
      <c r="AC18" s="23" t="s">
        <v>105</v>
      </c>
      <c r="AD18" s="23" t="s">
        <v>106</v>
      </c>
      <c r="AG18" s="24"/>
      <c r="AH18" s="24" t="s">
        <v>38</v>
      </c>
      <c r="AI18" s="25">
        <f>_xlfn.XLOOKUP($P18,'[1]Critieria List'!$L$3:$L$5,'[1]Critieria List'!$K$3:$K$5,,1)</f>
        <v>1</v>
      </c>
      <c r="AJ18" s="25">
        <f>_xlfn.XLOOKUP(O18,'[1]Critieria List'!$C$3:$C$6,'[1]Critieria List'!$B$3:$B$6,,1)</f>
        <v>3</v>
      </c>
      <c r="AK18" s="25">
        <f>_xlfn.XLOOKUP(AD18,'[1]Critieria List'!$F$3:$F$12,'[1]Critieria List'!$E$3:$E$12,,0)</f>
        <v>3</v>
      </c>
      <c r="AL18" s="25"/>
      <c r="AM18" s="26">
        <v>2</v>
      </c>
      <c r="AN18" s="27">
        <v>3</v>
      </c>
      <c r="AO18" s="27">
        <v>0</v>
      </c>
      <c r="AR18" s="1">
        <v>2</v>
      </c>
      <c r="AS18" s="1" t="s">
        <v>180</v>
      </c>
      <c r="AT18" s="48" t="s">
        <v>183</v>
      </c>
    </row>
    <row r="19" spans="2:46" ht="34.5" customHeight="1" x14ac:dyDescent="0.4">
      <c r="B19" s="39" t="s">
        <v>103</v>
      </c>
      <c r="C19" s="12" t="s">
        <v>58</v>
      </c>
      <c r="D19" s="40" t="s">
        <v>108</v>
      </c>
      <c r="E19" s="14">
        <v>2.1999999999999997</v>
      </c>
      <c r="F19" s="15">
        <v>2.1999999999999997</v>
      </c>
      <c r="G19" s="16">
        <v>0</v>
      </c>
      <c r="H19" s="17"/>
      <c r="I19" s="17"/>
      <c r="J19" s="18" t="s">
        <v>53</v>
      </c>
      <c r="K19" s="23"/>
      <c r="L19" s="19">
        <v>175</v>
      </c>
      <c r="M19" s="20" t="s">
        <v>43</v>
      </c>
      <c r="N19" s="21">
        <v>12100</v>
      </c>
      <c r="O19" s="22">
        <v>5.0000000000000001E-3</v>
      </c>
      <c r="P19" s="11">
        <v>2001</v>
      </c>
      <c r="Q19" s="11"/>
      <c r="R19" s="11"/>
      <c r="S19" s="11"/>
      <c r="T19" s="11"/>
      <c r="U19" s="11"/>
      <c r="V19" s="11"/>
      <c r="W19" s="11"/>
      <c r="X19" s="11"/>
      <c r="Y19" s="11"/>
      <c r="Z19" s="11"/>
      <c r="AA19" s="11"/>
      <c r="AB19" s="11"/>
      <c r="AC19" s="23" t="s">
        <v>105</v>
      </c>
      <c r="AD19" s="23" t="s">
        <v>106</v>
      </c>
      <c r="AG19" s="24"/>
      <c r="AH19" s="24" t="s">
        <v>38</v>
      </c>
      <c r="AI19" s="25">
        <f>_xlfn.XLOOKUP($P19,'[1]Critieria List'!$L$3:$L$5,'[1]Critieria List'!$K$3:$K$5,,1)</f>
        <v>2</v>
      </c>
      <c r="AJ19" s="25">
        <f>_xlfn.XLOOKUP(O19,'[1]Critieria List'!$C$3:$C$6,'[1]Critieria List'!$B$3:$B$6,,1)</f>
        <v>3</v>
      </c>
      <c r="AK19" s="25">
        <f>_xlfn.XLOOKUP(AD19,'[1]Critieria List'!$F$3:$F$12,'[1]Critieria List'!$E$3:$E$12,,0)</f>
        <v>3</v>
      </c>
      <c r="AL19" s="25"/>
      <c r="AM19" s="26">
        <v>2</v>
      </c>
      <c r="AN19" s="27">
        <v>3</v>
      </c>
      <c r="AO19" s="27">
        <v>0</v>
      </c>
      <c r="AR19" s="1">
        <v>2</v>
      </c>
      <c r="AS19" s="1" t="s">
        <v>180</v>
      </c>
      <c r="AT19" s="48" t="s">
        <v>183</v>
      </c>
    </row>
    <row r="20" spans="2:46" ht="34.5" customHeight="1" x14ac:dyDescent="0.4">
      <c r="B20" s="37" t="s">
        <v>103</v>
      </c>
      <c r="C20" s="12" t="s">
        <v>58</v>
      </c>
      <c r="D20" s="13" t="s">
        <v>109</v>
      </c>
      <c r="E20" s="14">
        <v>2.4</v>
      </c>
      <c r="F20" s="15">
        <v>2.4</v>
      </c>
      <c r="G20" s="16">
        <v>0</v>
      </c>
      <c r="H20" s="17"/>
      <c r="I20" s="17"/>
      <c r="J20" s="18" t="s">
        <v>53</v>
      </c>
      <c r="K20" s="23"/>
      <c r="L20" s="19">
        <v>215</v>
      </c>
      <c r="M20" s="20" t="s">
        <v>65</v>
      </c>
      <c r="N20" s="21">
        <v>8858</v>
      </c>
      <c r="O20" s="22">
        <v>0.14000000000000001</v>
      </c>
      <c r="P20" s="11">
        <v>1993</v>
      </c>
      <c r="Q20" s="11"/>
      <c r="R20" s="11"/>
      <c r="S20" s="11"/>
      <c r="T20" s="11"/>
      <c r="U20" s="11"/>
      <c r="V20" s="11"/>
      <c r="W20" s="11"/>
      <c r="X20" s="11"/>
      <c r="Y20" s="11"/>
      <c r="Z20" s="11"/>
      <c r="AA20" s="11"/>
      <c r="AB20" s="11"/>
      <c r="AC20" s="23" t="s">
        <v>105</v>
      </c>
      <c r="AD20" s="23" t="s">
        <v>106</v>
      </c>
      <c r="AG20" s="24"/>
      <c r="AH20" s="24" t="s">
        <v>38</v>
      </c>
      <c r="AI20" s="25">
        <f>_xlfn.XLOOKUP($P20,'[1]Critieria List'!$L$3:$L$5,'[1]Critieria List'!$K$3:$K$5,,1)</f>
        <v>3</v>
      </c>
      <c r="AJ20" s="25">
        <f>_xlfn.XLOOKUP(O20,'[1]Critieria List'!$C$3:$C$6,'[1]Critieria List'!$B$3:$B$6,,1)</f>
        <v>2</v>
      </c>
      <c r="AK20" s="25">
        <f>_xlfn.XLOOKUP(AD20,'[1]Critieria List'!$F$3:$F$12,'[1]Critieria List'!$E$3:$E$12,,0)</f>
        <v>3</v>
      </c>
      <c r="AL20" s="25"/>
      <c r="AM20" s="26">
        <v>2</v>
      </c>
      <c r="AN20" s="27">
        <v>3</v>
      </c>
      <c r="AO20" s="27">
        <v>0</v>
      </c>
      <c r="AR20" s="1">
        <v>2</v>
      </c>
      <c r="AS20" s="1" t="s">
        <v>180</v>
      </c>
      <c r="AT20" s="48" t="s">
        <v>183</v>
      </c>
    </row>
    <row r="21" spans="2:46" ht="34.5" customHeight="1" x14ac:dyDescent="0.4">
      <c r="B21" s="39" t="s">
        <v>103</v>
      </c>
      <c r="C21" s="12" t="s">
        <v>58</v>
      </c>
      <c r="D21" s="13" t="s">
        <v>110</v>
      </c>
      <c r="E21" s="14">
        <v>2.4</v>
      </c>
      <c r="F21" s="15">
        <v>2.4</v>
      </c>
      <c r="G21" s="16">
        <v>0</v>
      </c>
      <c r="H21" s="17"/>
      <c r="I21" s="17"/>
      <c r="J21" s="18" t="s">
        <v>53</v>
      </c>
      <c r="K21" s="23"/>
      <c r="L21" s="19">
        <v>800</v>
      </c>
      <c r="M21" s="20" t="s">
        <v>65</v>
      </c>
      <c r="N21" s="21">
        <v>9297</v>
      </c>
      <c r="O21" s="22">
        <v>0.61</v>
      </c>
      <c r="P21" s="11">
        <v>1992</v>
      </c>
      <c r="Q21" s="11"/>
      <c r="R21" s="11"/>
      <c r="S21" s="11"/>
      <c r="T21" s="11"/>
      <c r="U21" s="11"/>
      <c r="V21" s="11"/>
      <c r="W21" s="11"/>
      <c r="X21" s="11"/>
      <c r="Y21" s="11"/>
      <c r="Z21" s="11"/>
      <c r="AA21" s="11"/>
      <c r="AB21" s="11"/>
      <c r="AC21" s="23" t="s">
        <v>111</v>
      </c>
      <c r="AD21" s="23" t="s">
        <v>35</v>
      </c>
      <c r="AG21" s="24"/>
      <c r="AH21" s="24" t="s">
        <v>38</v>
      </c>
      <c r="AI21" s="25">
        <f>_xlfn.XLOOKUP($P21,'[1]Critieria List'!$L$3:$L$5,'[1]Critieria List'!$K$3:$K$5,,1)</f>
        <v>3</v>
      </c>
      <c r="AJ21" s="25">
        <f>_xlfn.XLOOKUP(O21,'[1]Critieria List'!$C$3:$C$6,'[1]Critieria List'!$B$3:$B$6,,1)</f>
        <v>1</v>
      </c>
      <c r="AK21" s="25">
        <f>_xlfn.XLOOKUP(AD21,'[1]Critieria List'!$F$3:$F$12,'[1]Critieria List'!$E$3:$E$12,,0)</f>
        <v>3</v>
      </c>
      <c r="AL21" s="25"/>
      <c r="AM21" s="26">
        <v>2</v>
      </c>
      <c r="AN21" s="27">
        <v>3</v>
      </c>
      <c r="AO21" s="27">
        <v>0</v>
      </c>
      <c r="AR21" s="1">
        <v>2</v>
      </c>
      <c r="AS21" s="1" t="s">
        <v>180</v>
      </c>
      <c r="AT21" s="48" t="s">
        <v>183</v>
      </c>
    </row>
    <row r="22" spans="2:46" ht="34.5" customHeight="1" x14ac:dyDescent="0.4">
      <c r="B22" s="37" t="s">
        <v>103</v>
      </c>
      <c r="C22" s="12" t="s">
        <v>58</v>
      </c>
      <c r="D22" s="13" t="s">
        <v>112</v>
      </c>
      <c r="E22" s="14">
        <v>2.1999999999999997</v>
      </c>
      <c r="F22" s="15">
        <v>2.1999999999999997</v>
      </c>
      <c r="G22" s="16">
        <v>0</v>
      </c>
      <c r="H22" s="17"/>
      <c r="I22" s="17"/>
      <c r="J22" s="18" t="s">
        <v>53</v>
      </c>
      <c r="K22" s="23"/>
      <c r="L22" s="19">
        <v>180</v>
      </c>
      <c r="M22" s="20" t="s">
        <v>65</v>
      </c>
      <c r="N22" s="21">
        <v>6653</v>
      </c>
      <c r="O22" s="22">
        <v>0.86</v>
      </c>
      <c r="P22" s="11">
        <v>2002</v>
      </c>
      <c r="Q22" s="11"/>
      <c r="R22" s="11"/>
      <c r="S22" s="11"/>
      <c r="T22" s="11"/>
      <c r="U22" s="11"/>
      <c r="V22" s="11"/>
      <c r="W22" s="11"/>
      <c r="X22" s="11"/>
      <c r="Y22" s="11"/>
      <c r="Z22" s="11"/>
      <c r="AA22" s="11"/>
      <c r="AB22" s="11"/>
      <c r="AC22" s="23" t="s">
        <v>105</v>
      </c>
      <c r="AD22" s="23" t="s">
        <v>46</v>
      </c>
      <c r="AG22" s="24"/>
      <c r="AH22" s="24" t="s">
        <v>38</v>
      </c>
      <c r="AI22" s="25">
        <f>_xlfn.XLOOKUP($P22,'[1]Critieria List'!$L$3:$L$5,'[1]Critieria List'!$K$3:$K$5,,1)</f>
        <v>2</v>
      </c>
      <c r="AJ22" s="25">
        <f>_xlfn.XLOOKUP(O22,'[1]Critieria List'!$C$3:$C$6,'[1]Critieria List'!$B$3:$B$6,,1)</f>
        <v>1</v>
      </c>
      <c r="AK22" s="25">
        <f>_xlfn.XLOOKUP(AD22,'[1]Critieria List'!$F$3:$F$12,'[1]Critieria List'!$E$3:$E$12,,0)</f>
        <v>3</v>
      </c>
      <c r="AL22" s="25"/>
      <c r="AM22" s="26">
        <v>2</v>
      </c>
      <c r="AN22" s="27">
        <v>3</v>
      </c>
      <c r="AO22" s="27">
        <v>0</v>
      </c>
      <c r="AR22" s="1">
        <v>2</v>
      </c>
      <c r="AS22" s="1" t="s">
        <v>180</v>
      </c>
      <c r="AT22" s="48" t="s">
        <v>183</v>
      </c>
    </row>
    <row r="23" spans="2:46" ht="34.5" customHeight="1" x14ac:dyDescent="0.4">
      <c r="B23" s="39" t="s">
        <v>103</v>
      </c>
      <c r="C23" s="12" t="s">
        <v>58</v>
      </c>
      <c r="D23" s="13" t="s">
        <v>113</v>
      </c>
      <c r="E23" s="14">
        <v>2.1999999999999997</v>
      </c>
      <c r="F23" s="15">
        <v>2.1999999999999997</v>
      </c>
      <c r="G23" s="16">
        <v>0</v>
      </c>
      <c r="H23" s="17"/>
      <c r="I23" s="17"/>
      <c r="J23" s="18" t="s">
        <v>53</v>
      </c>
      <c r="K23" s="23"/>
      <c r="L23" s="19">
        <v>921</v>
      </c>
      <c r="M23" s="20" t="s">
        <v>65</v>
      </c>
      <c r="N23" s="21">
        <v>7173</v>
      </c>
      <c r="O23" s="22">
        <v>0.86</v>
      </c>
      <c r="P23" s="11">
        <v>2004</v>
      </c>
      <c r="Q23" s="11"/>
      <c r="R23" s="11"/>
      <c r="S23" s="11"/>
      <c r="T23" s="11"/>
      <c r="U23" s="11"/>
      <c r="V23" s="11"/>
      <c r="W23" s="11"/>
      <c r="X23" s="11"/>
      <c r="Y23" s="11"/>
      <c r="Z23" s="11"/>
      <c r="AA23" s="11"/>
      <c r="AB23" s="11"/>
      <c r="AC23" s="23" t="s">
        <v>105</v>
      </c>
      <c r="AD23" s="23" t="s">
        <v>46</v>
      </c>
      <c r="AG23" s="24"/>
      <c r="AH23" s="24" t="s">
        <v>38</v>
      </c>
      <c r="AI23" s="25">
        <f>_xlfn.XLOOKUP($P23,'[1]Critieria List'!$L$3:$L$5,'[1]Critieria List'!$K$3:$K$5,,1)</f>
        <v>2</v>
      </c>
      <c r="AJ23" s="25">
        <f>_xlfn.XLOOKUP(O23,'[1]Critieria List'!$C$3:$C$6,'[1]Critieria List'!$B$3:$B$6,,1)</f>
        <v>1</v>
      </c>
      <c r="AK23" s="25">
        <f>_xlfn.XLOOKUP(AD23,'[1]Critieria List'!$F$3:$F$12,'[1]Critieria List'!$E$3:$E$12,,0)</f>
        <v>3</v>
      </c>
      <c r="AL23" s="25"/>
      <c r="AM23" s="26">
        <v>2</v>
      </c>
      <c r="AN23" s="27">
        <v>3</v>
      </c>
      <c r="AO23" s="27">
        <v>0</v>
      </c>
      <c r="AR23" s="1">
        <v>2</v>
      </c>
      <c r="AS23" s="1" t="s">
        <v>180</v>
      </c>
      <c r="AT23" s="48" t="s">
        <v>183</v>
      </c>
    </row>
    <row r="24" spans="2:46" ht="34.5" customHeight="1" x14ac:dyDescent="0.4">
      <c r="B24" s="42" t="s">
        <v>103</v>
      </c>
      <c r="C24" s="12" t="s">
        <v>58</v>
      </c>
      <c r="D24" s="13" t="s">
        <v>114</v>
      </c>
      <c r="E24" s="14">
        <v>2.4</v>
      </c>
      <c r="F24" s="15">
        <v>2.4</v>
      </c>
      <c r="G24" s="16">
        <v>0</v>
      </c>
      <c r="H24" s="17"/>
      <c r="I24" s="17"/>
      <c r="J24" s="18" t="s">
        <v>53</v>
      </c>
      <c r="K24" s="23"/>
      <c r="L24" s="19">
        <v>187</v>
      </c>
      <c r="M24" s="20" t="s">
        <v>65</v>
      </c>
      <c r="N24" s="21">
        <v>7775</v>
      </c>
      <c r="O24" s="22">
        <v>0.34</v>
      </c>
      <c r="P24" s="11">
        <v>1999</v>
      </c>
      <c r="Q24" s="11"/>
      <c r="R24" s="11"/>
      <c r="S24" s="11"/>
      <c r="T24" s="11"/>
      <c r="U24" s="11"/>
      <c r="V24" s="11"/>
      <c r="W24" s="11"/>
      <c r="X24" s="11"/>
      <c r="Y24" s="11"/>
      <c r="Z24" s="11"/>
      <c r="AA24" s="11"/>
      <c r="AB24" s="11"/>
      <c r="AC24" s="23" t="s">
        <v>105</v>
      </c>
      <c r="AD24" s="23" t="s">
        <v>106</v>
      </c>
      <c r="AG24" s="24"/>
      <c r="AH24" s="24" t="s">
        <v>38</v>
      </c>
      <c r="AI24" s="25">
        <f>_xlfn.XLOOKUP($P24,'[1]Critieria List'!$L$3:$L$5,'[1]Critieria List'!$K$3:$K$5,,1)</f>
        <v>3</v>
      </c>
      <c r="AJ24" s="25">
        <f>_xlfn.XLOOKUP(O24,'[1]Critieria List'!$C$3:$C$6,'[1]Critieria List'!$B$3:$B$6,,1)</f>
        <v>1</v>
      </c>
      <c r="AK24" s="25">
        <f>_xlfn.XLOOKUP(AD24,'[1]Critieria List'!$F$3:$F$12,'[1]Critieria List'!$E$3:$E$12,,0)</f>
        <v>3</v>
      </c>
      <c r="AL24" s="25"/>
      <c r="AM24" s="26">
        <v>2</v>
      </c>
      <c r="AN24" s="27">
        <v>3</v>
      </c>
      <c r="AO24" s="27">
        <v>0</v>
      </c>
      <c r="AR24" s="1">
        <v>2</v>
      </c>
      <c r="AS24" s="1" t="s">
        <v>180</v>
      </c>
      <c r="AT24" s="48" t="s">
        <v>183</v>
      </c>
    </row>
    <row r="25" spans="2:46" ht="34.5" customHeight="1" x14ac:dyDescent="0.4">
      <c r="B25" s="39" t="s">
        <v>50</v>
      </c>
      <c r="C25" s="12" t="s">
        <v>51</v>
      </c>
      <c r="D25" s="32" t="s">
        <v>115</v>
      </c>
      <c r="E25" s="14">
        <v>2.6999999999999997</v>
      </c>
      <c r="F25" s="15">
        <v>2.6999999999999997</v>
      </c>
      <c r="G25" s="16">
        <v>0</v>
      </c>
      <c r="H25" s="17"/>
      <c r="I25" s="17"/>
      <c r="J25" s="18" t="s">
        <v>53</v>
      </c>
      <c r="K25" s="23"/>
      <c r="L25" s="29">
        <v>67</v>
      </c>
      <c r="M25" s="30" t="s">
        <v>65</v>
      </c>
      <c r="N25" s="21">
        <v>9000</v>
      </c>
      <c r="O25" s="33">
        <v>0.01</v>
      </c>
      <c r="P25" s="11">
        <v>1992</v>
      </c>
      <c r="Q25" s="11"/>
      <c r="R25" s="11"/>
      <c r="S25" s="11" t="s">
        <v>171</v>
      </c>
      <c r="T25" s="11"/>
      <c r="U25" s="11"/>
      <c r="V25" s="11"/>
      <c r="W25" s="11"/>
      <c r="X25" s="11"/>
      <c r="Y25" s="11"/>
      <c r="Z25" s="11"/>
      <c r="AA25" s="11"/>
      <c r="AB25" s="11"/>
      <c r="AC25" s="23" t="s">
        <v>54</v>
      </c>
      <c r="AD25" s="23" t="s">
        <v>35</v>
      </c>
      <c r="AE25" s="1" t="s">
        <v>81</v>
      </c>
      <c r="AF25" s="1" t="s">
        <v>116</v>
      </c>
      <c r="AG25" s="24"/>
      <c r="AH25" s="24" t="s">
        <v>38</v>
      </c>
      <c r="AI25" s="25">
        <f>_xlfn.XLOOKUP($P25,'[1]Critieria List'!$L$3:$L$5,'[1]Critieria List'!$K$3:$K$5,,1)</f>
        <v>3</v>
      </c>
      <c r="AJ25" s="25">
        <f>_xlfn.XLOOKUP($O25,'[1]Critieria List'!$C$3:$C$6,'[1]Critieria List'!$B$3:$B$6,,1)</f>
        <v>3</v>
      </c>
      <c r="AK25" s="25">
        <f>_xlfn.XLOOKUP($AD25,'[1]Critieria List'!$F$3:$F$12,'[1]Critieria List'!$E$3:$E$12,,0)</f>
        <v>3</v>
      </c>
      <c r="AM25" s="26">
        <v>2</v>
      </c>
      <c r="AN25" s="27">
        <v>2</v>
      </c>
      <c r="AO25" s="27">
        <v>3</v>
      </c>
      <c r="AP25" s="27">
        <v>0</v>
      </c>
      <c r="AR25" s="1">
        <v>3</v>
      </c>
      <c r="AS25" s="1" t="s">
        <v>182</v>
      </c>
      <c r="AT25" s="48" t="s">
        <v>183</v>
      </c>
    </row>
    <row r="26" spans="2:46" ht="34.5" customHeight="1" x14ac:dyDescent="0.4">
      <c r="B26" s="37" t="s">
        <v>50</v>
      </c>
      <c r="C26" s="12" t="s">
        <v>51</v>
      </c>
      <c r="D26" s="32" t="s">
        <v>117</v>
      </c>
      <c r="E26" s="14">
        <v>2.6999999999999997</v>
      </c>
      <c r="F26" s="15">
        <v>2.6999999999999997</v>
      </c>
      <c r="G26" s="16">
        <v>0</v>
      </c>
      <c r="H26" s="17"/>
      <c r="I26" s="17"/>
      <c r="J26" s="18" t="s">
        <v>53</v>
      </c>
      <c r="K26" s="23"/>
      <c r="L26" s="29">
        <v>65</v>
      </c>
      <c r="M26" s="30" t="s">
        <v>65</v>
      </c>
      <c r="N26" s="21">
        <v>9000</v>
      </c>
      <c r="O26" s="33">
        <v>0.01</v>
      </c>
      <c r="P26" s="11">
        <v>1991</v>
      </c>
      <c r="Q26" s="11"/>
      <c r="R26" s="11"/>
      <c r="S26" s="11" t="s">
        <v>171</v>
      </c>
      <c r="T26" s="11"/>
      <c r="U26" s="11"/>
      <c r="V26" s="11"/>
      <c r="W26" s="11"/>
      <c r="X26" s="11"/>
      <c r="Y26" s="11"/>
      <c r="Z26" s="11"/>
      <c r="AA26" s="11"/>
      <c r="AB26" s="11"/>
      <c r="AC26" s="23" t="s">
        <v>54</v>
      </c>
      <c r="AD26" s="23" t="s">
        <v>35</v>
      </c>
      <c r="AE26" s="1" t="s">
        <v>81</v>
      </c>
      <c r="AG26" s="24"/>
      <c r="AH26" s="24" t="s">
        <v>38</v>
      </c>
      <c r="AI26" s="25">
        <f>_xlfn.XLOOKUP($P26,'[1]Critieria List'!$L$3:$L$5,'[1]Critieria List'!$K$3:$K$5,,1)</f>
        <v>3</v>
      </c>
      <c r="AJ26" s="25">
        <f>_xlfn.XLOOKUP($O26,'[1]Critieria List'!$C$3:$C$6,'[1]Critieria List'!$B$3:$B$6,,1)</f>
        <v>3</v>
      </c>
      <c r="AK26" s="25">
        <f>_xlfn.XLOOKUP($AD26,'[1]Critieria List'!$F$3:$F$12,'[1]Critieria List'!$E$3:$E$12,,0)</f>
        <v>3</v>
      </c>
      <c r="AL26" s="25"/>
      <c r="AM26" s="26">
        <v>2</v>
      </c>
      <c r="AN26" s="27">
        <v>2</v>
      </c>
      <c r="AO26" s="27">
        <v>2</v>
      </c>
      <c r="AP26" s="27">
        <v>0</v>
      </c>
      <c r="AR26" s="1">
        <v>3</v>
      </c>
      <c r="AS26" s="1" t="s">
        <v>182</v>
      </c>
      <c r="AT26" s="48" t="s">
        <v>183</v>
      </c>
    </row>
    <row r="27" spans="2:46" ht="34.5" customHeight="1" x14ac:dyDescent="0.4">
      <c r="B27" s="39" t="s">
        <v>50</v>
      </c>
      <c r="C27" s="12" t="s">
        <v>51</v>
      </c>
      <c r="D27" s="32" t="s">
        <v>118</v>
      </c>
      <c r="E27" s="14">
        <v>2.6999999999999997</v>
      </c>
      <c r="F27" s="15">
        <v>2.6999999999999997</v>
      </c>
      <c r="G27" s="16">
        <v>0</v>
      </c>
      <c r="H27" s="17"/>
      <c r="I27" s="17"/>
      <c r="J27" s="18" t="s">
        <v>53</v>
      </c>
      <c r="K27" s="23"/>
      <c r="L27" s="29">
        <v>67</v>
      </c>
      <c r="M27" s="30" t="s">
        <v>65</v>
      </c>
      <c r="N27" s="21">
        <v>8200</v>
      </c>
      <c r="O27" s="33">
        <v>0.05</v>
      </c>
      <c r="P27" s="11">
        <v>1994</v>
      </c>
      <c r="Q27" s="11" t="s">
        <v>119</v>
      </c>
      <c r="R27" s="11"/>
      <c r="S27" s="11" t="s">
        <v>171</v>
      </c>
      <c r="T27" s="11"/>
      <c r="U27" s="11"/>
      <c r="V27" s="11"/>
      <c r="W27" s="11"/>
      <c r="X27" s="11"/>
      <c r="Y27" s="11"/>
      <c r="Z27" s="11"/>
      <c r="AA27" s="11"/>
      <c r="AB27" s="11"/>
      <c r="AC27" s="23" t="s">
        <v>54</v>
      </c>
      <c r="AD27" s="23" t="s">
        <v>35</v>
      </c>
      <c r="AE27" s="1" t="s">
        <v>81</v>
      </c>
      <c r="AG27" s="24"/>
      <c r="AH27" s="24" t="s">
        <v>38</v>
      </c>
      <c r="AI27" s="25">
        <f>_xlfn.XLOOKUP($P27,'[1]Critieria List'!$L$3:$L$5,'[1]Critieria List'!$K$3:$K$5,,1)</f>
        <v>3</v>
      </c>
      <c r="AJ27" s="25">
        <f>_xlfn.XLOOKUP(O27,'[1]Critieria List'!$C$3:$C$6,'[1]Critieria List'!$B$3:$B$6,,1)</f>
        <v>3</v>
      </c>
      <c r="AK27" s="25">
        <f>_xlfn.XLOOKUP(AD27,'[1]Critieria List'!$F$3:$F$12,'[1]Critieria List'!$E$3:$E$12,,0)</f>
        <v>3</v>
      </c>
      <c r="AL27" s="25"/>
      <c r="AM27" s="26">
        <v>2</v>
      </c>
      <c r="AN27" s="27">
        <v>2</v>
      </c>
      <c r="AO27" s="27">
        <v>3</v>
      </c>
      <c r="AP27" s="27">
        <v>0</v>
      </c>
      <c r="AR27" s="1">
        <v>3</v>
      </c>
      <c r="AS27" s="1" t="s">
        <v>182</v>
      </c>
      <c r="AT27" s="48" t="s">
        <v>183</v>
      </c>
    </row>
    <row r="28" spans="2:46" ht="34.5" customHeight="1" x14ac:dyDescent="0.4">
      <c r="B28" s="37" t="s">
        <v>40</v>
      </c>
      <c r="C28" s="12" t="s">
        <v>41</v>
      </c>
      <c r="D28" s="13" t="s">
        <v>120</v>
      </c>
      <c r="E28" s="14">
        <v>0</v>
      </c>
      <c r="F28" s="15">
        <v>0</v>
      </c>
      <c r="G28" s="16">
        <v>0</v>
      </c>
      <c r="H28" s="17"/>
      <c r="I28" s="17"/>
      <c r="J28" s="18" t="s">
        <v>32</v>
      </c>
      <c r="K28" s="11">
        <v>1</v>
      </c>
      <c r="L28" s="29">
        <v>677</v>
      </c>
      <c r="M28" s="30" t="s">
        <v>43</v>
      </c>
      <c r="N28" s="21">
        <v>12400</v>
      </c>
      <c r="O28" s="31">
        <v>0.02</v>
      </c>
      <c r="P28" s="11">
        <v>2001</v>
      </c>
      <c r="Q28" s="11" t="s">
        <v>121</v>
      </c>
      <c r="R28" s="11"/>
      <c r="S28" s="11" t="s">
        <v>178</v>
      </c>
      <c r="T28" s="11"/>
      <c r="U28" s="11"/>
      <c r="V28" s="11"/>
      <c r="W28" s="11"/>
      <c r="X28" s="11"/>
      <c r="Y28" s="11"/>
      <c r="Z28" s="11"/>
      <c r="AA28" s="11"/>
      <c r="AB28" s="11"/>
      <c r="AC28" s="23" t="s">
        <v>45</v>
      </c>
      <c r="AD28" s="23" t="s">
        <v>46</v>
      </c>
      <c r="AE28" s="1" t="s">
        <v>122</v>
      </c>
      <c r="AF28" s="1" t="s">
        <v>123</v>
      </c>
      <c r="AG28" s="24" t="s">
        <v>124</v>
      </c>
      <c r="AH28" s="24" t="s">
        <v>38</v>
      </c>
      <c r="AI28" s="25">
        <f>_xlfn.XLOOKUP($P28,'[1]Critieria List'!$L$3:$L$5,'[1]Critieria List'!$K$3:$K$5,,1)</f>
        <v>2</v>
      </c>
      <c r="AJ28" s="25">
        <f>_xlfn.XLOOKUP(O28,'[1]Critieria List'!$C$3:$C$6,'[1]Critieria List'!$B$3:$B$6,,1)</f>
        <v>3</v>
      </c>
      <c r="AK28" s="25">
        <f>_xlfn.XLOOKUP(AD28,'[1]Critieria List'!$F$3:$F$12,'[1]Critieria List'!$E$3:$E$12,,0)</f>
        <v>3</v>
      </c>
      <c r="AL28" s="25"/>
      <c r="AM28" s="26">
        <v>2</v>
      </c>
      <c r="AN28" s="27">
        <v>3</v>
      </c>
      <c r="AO28" s="27">
        <v>2</v>
      </c>
      <c r="AP28" s="27">
        <v>0</v>
      </c>
      <c r="AR28" s="1" t="e">
        <v>#N/A</v>
      </c>
      <c r="AS28" s="1" t="s">
        <v>181</v>
      </c>
      <c r="AT28" s="48" t="s">
        <v>183</v>
      </c>
    </row>
    <row r="29" spans="2:46" ht="34.5" customHeight="1" x14ac:dyDescent="0.4">
      <c r="B29" s="37" t="s">
        <v>40</v>
      </c>
      <c r="C29" s="12" t="s">
        <v>41</v>
      </c>
      <c r="D29" s="13" t="s">
        <v>125</v>
      </c>
      <c r="E29" s="14">
        <v>0</v>
      </c>
      <c r="F29" s="15">
        <v>0</v>
      </c>
      <c r="G29" s="16">
        <v>0</v>
      </c>
      <c r="H29" s="17"/>
      <c r="I29" s="17"/>
      <c r="J29" s="18" t="s">
        <v>32</v>
      </c>
      <c r="K29" s="11">
        <v>1</v>
      </c>
      <c r="L29" s="29">
        <v>12</v>
      </c>
      <c r="M29" s="30" t="s">
        <v>100</v>
      </c>
      <c r="N29" s="21">
        <v>11000</v>
      </c>
      <c r="O29" s="31">
        <v>1E-3</v>
      </c>
      <c r="P29" s="11">
        <v>1968</v>
      </c>
      <c r="Q29" s="11" t="s">
        <v>58</v>
      </c>
      <c r="R29" s="11"/>
      <c r="S29" s="11" t="s">
        <v>175</v>
      </c>
      <c r="T29" s="11"/>
      <c r="U29" s="11"/>
      <c r="V29" s="11"/>
      <c r="W29" s="11"/>
      <c r="X29" s="11"/>
      <c r="Y29" s="11"/>
      <c r="Z29" s="11"/>
      <c r="AA29" s="11"/>
      <c r="AB29" s="11"/>
      <c r="AC29" s="23" t="s">
        <v>45</v>
      </c>
      <c r="AD29" s="23" t="s">
        <v>46</v>
      </c>
      <c r="AE29" s="1" t="s">
        <v>93</v>
      </c>
      <c r="AF29" s="1" t="s">
        <v>126</v>
      </c>
      <c r="AG29" s="24" t="s">
        <v>127</v>
      </c>
      <c r="AH29" s="24" t="s">
        <v>75</v>
      </c>
      <c r="AI29" s="25">
        <f>_xlfn.XLOOKUP($P29,'[1]Critieria List'!$L$3:$L$5,'[1]Critieria List'!$K$3:$K$5,,1)</f>
        <v>3</v>
      </c>
      <c r="AJ29" s="25">
        <f>_xlfn.XLOOKUP(O29,'[1]Critieria List'!$C$3:$C$6,'[1]Critieria List'!$B$3:$B$6,,1)</f>
        <v>3</v>
      </c>
      <c r="AK29" s="25">
        <f>_xlfn.XLOOKUP(AD29,'[1]Critieria List'!$F$3:$F$12,'[1]Critieria List'!$E$3:$E$12,,0)</f>
        <v>3</v>
      </c>
      <c r="AL29" s="25"/>
      <c r="AM29" s="26">
        <v>2</v>
      </c>
      <c r="AN29" s="27">
        <v>3</v>
      </c>
      <c r="AO29" s="27">
        <v>1.5</v>
      </c>
      <c r="AP29" s="27">
        <v>0</v>
      </c>
      <c r="AQ29" s="2" t="s">
        <v>73</v>
      </c>
      <c r="AR29" s="1" t="e">
        <v>#N/A</v>
      </c>
      <c r="AS29" s="1" t="s">
        <v>181</v>
      </c>
      <c r="AT29" s="48" t="s">
        <v>183</v>
      </c>
    </row>
    <row r="30" spans="2:46" ht="34.5" customHeight="1" x14ac:dyDescent="0.4">
      <c r="B30" s="37" t="s">
        <v>40</v>
      </c>
      <c r="C30" s="12" t="s">
        <v>41</v>
      </c>
      <c r="D30" s="13" t="s">
        <v>128</v>
      </c>
      <c r="E30" s="14">
        <v>0</v>
      </c>
      <c r="F30" s="15">
        <v>0</v>
      </c>
      <c r="G30" s="16">
        <v>0</v>
      </c>
      <c r="H30" s="17"/>
      <c r="I30" s="17"/>
      <c r="J30" s="18" t="s">
        <v>32</v>
      </c>
      <c r="K30" s="11">
        <v>1</v>
      </c>
      <c r="L30" s="29">
        <v>10</v>
      </c>
      <c r="M30" s="30" t="s">
        <v>100</v>
      </c>
      <c r="N30" s="21">
        <v>11000</v>
      </c>
      <c r="O30" s="31">
        <v>1E-3</v>
      </c>
      <c r="P30" s="11">
        <v>1968</v>
      </c>
      <c r="Q30" s="11" t="s">
        <v>58</v>
      </c>
      <c r="R30" s="11"/>
      <c r="S30" s="11" t="s">
        <v>175</v>
      </c>
      <c r="T30" s="11"/>
      <c r="U30" s="11"/>
      <c r="V30" s="11"/>
      <c r="W30" s="11"/>
      <c r="X30" s="11"/>
      <c r="Y30" s="11"/>
      <c r="Z30" s="11"/>
      <c r="AA30" s="11"/>
      <c r="AB30" s="11"/>
      <c r="AC30" s="23" t="s">
        <v>45</v>
      </c>
      <c r="AD30" s="23" t="s">
        <v>46</v>
      </c>
      <c r="AE30" s="1" t="s">
        <v>93</v>
      </c>
      <c r="AF30" s="1" t="s">
        <v>129</v>
      </c>
      <c r="AG30" s="24" t="s">
        <v>130</v>
      </c>
      <c r="AH30" s="24" t="s">
        <v>75</v>
      </c>
      <c r="AI30" s="25">
        <f>_xlfn.XLOOKUP($P30,'[1]Critieria List'!$L$3:$L$5,'[1]Critieria List'!$K$3:$K$5,,1)</f>
        <v>3</v>
      </c>
      <c r="AJ30" s="25">
        <f>_xlfn.XLOOKUP(O30,'[1]Critieria List'!$C$3:$C$6,'[1]Critieria List'!$B$3:$B$6,,1)</f>
        <v>3</v>
      </c>
      <c r="AK30" s="25">
        <f>_xlfn.XLOOKUP(AD30,'[1]Critieria List'!$F$3:$F$12,'[1]Critieria List'!$E$3:$E$12,,0)</f>
        <v>3</v>
      </c>
      <c r="AL30" s="25"/>
      <c r="AM30" s="26">
        <v>2</v>
      </c>
      <c r="AN30" s="27">
        <v>3</v>
      </c>
      <c r="AO30" s="27">
        <v>1.5</v>
      </c>
      <c r="AP30" s="27">
        <v>0</v>
      </c>
      <c r="AQ30" s="2" t="s">
        <v>73</v>
      </c>
      <c r="AR30" s="1" t="e">
        <v>#N/A</v>
      </c>
      <c r="AS30" s="1" t="s">
        <v>181</v>
      </c>
      <c r="AT30" s="48" t="s">
        <v>183</v>
      </c>
    </row>
    <row r="31" spans="2:46" ht="34.5" customHeight="1" x14ac:dyDescent="0.4">
      <c r="B31" s="37" t="s">
        <v>131</v>
      </c>
      <c r="C31" s="12" t="s">
        <v>58</v>
      </c>
      <c r="D31" s="13" t="s">
        <v>132</v>
      </c>
      <c r="E31" s="14">
        <v>2.4</v>
      </c>
      <c r="F31" s="15">
        <v>2.4</v>
      </c>
      <c r="G31" s="16">
        <v>0</v>
      </c>
      <c r="H31" s="17"/>
      <c r="I31" s="17"/>
      <c r="J31" s="18" t="s">
        <v>53</v>
      </c>
      <c r="K31" s="11">
        <v>1</v>
      </c>
      <c r="L31" s="29">
        <v>550</v>
      </c>
      <c r="M31" s="30" t="s">
        <v>33</v>
      </c>
      <c r="N31" s="21">
        <v>12500</v>
      </c>
      <c r="O31" s="31">
        <v>4.0000000000000001E-3</v>
      </c>
      <c r="P31" s="11">
        <v>1961</v>
      </c>
      <c r="Q31" s="11"/>
      <c r="R31" s="11"/>
      <c r="S31" s="11"/>
      <c r="T31" s="11"/>
      <c r="U31" s="11"/>
      <c r="V31" s="11"/>
      <c r="W31" s="11"/>
      <c r="X31" s="11"/>
      <c r="Y31" s="11"/>
      <c r="Z31" s="11"/>
      <c r="AA31" s="11"/>
      <c r="AB31" s="11"/>
      <c r="AC31" s="23" t="s">
        <v>133</v>
      </c>
      <c r="AD31" s="23" t="s">
        <v>35</v>
      </c>
      <c r="AE31" s="1" t="s">
        <v>0</v>
      </c>
      <c r="AF31" s="27" t="e" vm="1">
        <v>#VALUE!</v>
      </c>
      <c r="AG31" s="36">
        <v>100</v>
      </c>
      <c r="AH31" s="24" t="s">
        <v>38</v>
      </c>
      <c r="AI31" s="25">
        <f>_xlfn.XLOOKUP($P31,'[1]Critieria List'!$L$3:$L$5,'[1]Critieria List'!$K$3:$K$5,,1)</f>
        <v>3</v>
      </c>
      <c r="AJ31" s="25">
        <f>_xlfn.XLOOKUP(O31,'[1]Critieria List'!$C$3:$C$6,'[1]Critieria List'!$B$3:$B$6,,1)</f>
        <v>3</v>
      </c>
      <c r="AK31" s="25">
        <f>_xlfn.XLOOKUP(AD31,'[1]Critieria List'!$F$3:$F$12,'[1]Critieria List'!$E$3:$E$12,,0)</f>
        <v>3</v>
      </c>
      <c r="AL31" s="25"/>
      <c r="AM31" s="26">
        <v>2</v>
      </c>
      <c r="AR31" s="1">
        <v>2</v>
      </c>
      <c r="AS31" s="1" t="s">
        <v>180</v>
      </c>
      <c r="AT31" s="48" t="s">
        <v>183</v>
      </c>
    </row>
    <row r="32" spans="2:46" ht="34.5" customHeight="1" x14ac:dyDescent="0.4">
      <c r="B32" s="37" t="s">
        <v>40</v>
      </c>
      <c r="C32" s="12" t="s">
        <v>41</v>
      </c>
      <c r="D32" s="13" t="s">
        <v>134</v>
      </c>
      <c r="E32" s="14">
        <v>0</v>
      </c>
      <c r="F32" s="15">
        <v>0</v>
      </c>
      <c r="G32" s="16">
        <v>0</v>
      </c>
      <c r="H32" s="17"/>
      <c r="I32" s="17"/>
      <c r="J32" s="18" t="s">
        <v>32</v>
      </c>
      <c r="K32" s="11">
        <v>1</v>
      </c>
      <c r="L32" s="29">
        <v>586</v>
      </c>
      <c r="M32" s="30" t="s">
        <v>43</v>
      </c>
      <c r="N32" s="21">
        <v>12400</v>
      </c>
      <c r="O32" s="31">
        <v>0.254</v>
      </c>
      <c r="P32" s="11">
        <v>2002</v>
      </c>
      <c r="Q32" s="11" t="s">
        <v>135</v>
      </c>
      <c r="R32" s="11"/>
      <c r="S32" s="11"/>
      <c r="T32" s="11"/>
      <c r="U32" s="11"/>
      <c r="V32" s="11"/>
      <c r="W32" s="11"/>
      <c r="X32" s="11"/>
      <c r="Y32" s="11"/>
      <c r="Z32" s="11"/>
      <c r="AA32" s="11"/>
      <c r="AB32" s="11"/>
      <c r="AC32" s="23" t="s">
        <v>45</v>
      </c>
      <c r="AD32" s="23" t="s">
        <v>46</v>
      </c>
      <c r="AE32" s="1" t="s">
        <v>93</v>
      </c>
      <c r="AF32" s="1" t="s">
        <v>126</v>
      </c>
      <c r="AG32" s="24" t="s">
        <v>136</v>
      </c>
      <c r="AH32" s="24" t="s">
        <v>38</v>
      </c>
      <c r="AI32" s="25">
        <f>_xlfn.XLOOKUP($P32,'[1]Critieria List'!$L$3:$L$5,'[1]Critieria List'!$K$3:$K$5,,1)</f>
        <v>2</v>
      </c>
      <c r="AJ32" s="25">
        <f>_xlfn.XLOOKUP(O32,'[1]Critieria List'!$C$3:$C$6,'[1]Critieria List'!$B$3:$B$6,,1)</f>
        <v>1</v>
      </c>
      <c r="AK32" s="25">
        <f>_xlfn.XLOOKUP(AD32,'[1]Critieria List'!$F$3:$F$12,'[1]Critieria List'!$E$3:$E$12,,0)</f>
        <v>3</v>
      </c>
      <c r="AL32" s="25"/>
      <c r="AM32" s="26">
        <v>2</v>
      </c>
      <c r="AN32" s="43"/>
      <c r="AO32" s="43"/>
      <c r="AP32" s="43">
        <v>0</v>
      </c>
      <c r="AR32" s="1" t="e">
        <v>#N/A</v>
      </c>
      <c r="AS32" s="1" t="s">
        <v>181</v>
      </c>
      <c r="AT32" s="48" t="s">
        <v>183</v>
      </c>
    </row>
    <row r="33" spans="2:46" ht="34.5" customHeight="1" x14ac:dyDescent="0.4">
      <c r="B33" s="37" t="s">
        <v>137</v>
      </c>
      <c r="C33" s="12" t="s">
        <v>58</v>
      </c>
      <c r="D33" s="13" t="s">
        <v>138</v>
      </c>
      <c r="E33" s="14">
        <v>0</v>
      </c>
      <c r="F33" s="15">
        <v>0</v>
      </c>
      <c r="G33" s="16">
        <v>0</v>
      </c>
      <c r="H33" s="17"/>
      <c r="I33" s="17"/>
      <c r="J33" s="18" t="s">
        <v>32</v>
      </c>
      <c r="K33" s="11">
        <v>1</v>
      </c>
      <c r="L33" s="19">
        <v>550</v>
      </c>
      <c r="M33" s="20"/>
      <c r="N33" s="23"/>
      <c r="O33" s="44">
        <v>0.25</v>
      </c>
      <c r="P33" s="23">
        <v>1989</v>
      </c>
      <c r="Q33" s="23"/>
      <c r="R33" s="23"/>
      <c r="S33" s="23"/>
      <c r="T33" s="23"/>
      <c r="U33" s="23"/>
      <c r="V33" s="23"/>
      <c r="W33" s="23"/>
      <c r="X33" s="23"/>
      <c r="Y33" s="23"/>
      <c r="Z33" s="23"/>
      <c r="AA33" s="23"/>
      <c r="AB33" s="23"/>
      <c r="AC33" s="23" t="s">
        <v>137</v>
      </c>
      <c r="AD33" s="23" t="s">
        <v>139</v>
      </c>
      <c r="AE33" s="1" t="s">
        <v>140</v>
      </c>
      <c r="AF33" s="1" t="s">
        <v>141</v>
      </c>
      <c r="AH33" s="24" t="s">
        <v>38</v>
      </c>
      <c r="AI33" s="25">
        <f>_xlfn.XLOOKUP($P33,'[1]Critieria List'!$L$3:$L$5,'[1]Critieria List'!$K$3:$K$5,,1)</f>
        <v>3</v>
      </c>
      <c r="AJ33" s="25">
        <f>_xlfn.XLOOKUP(O33,'[1]Critieria List'!$C$3:$C$6,'[1]Critieria List'!$B$3:$B$6,,1)</f>
        <v>2</v>
      </c>
      <c r="AK33" s="25" t="e">
        <f>_xlfn.XLOOKUP(AD33,'[1]Critieria List'!$F$3:$F$12,'[1]Critieria List'!$E$3:$E$12,,0)</f>
        <v>#N/A</v>
      </c>
      <c r="AL33" s="25"/>
      <c r="AM33" s="26">
        <v>2</v>
      </c>
      <c r="AR33" s="1">
        <v>3</v>
      </c>
      <c r="AS33" s="1" t="s">
        <v>182</v>
      </c>
      <c r="AT33" s="48" t="s">
        <v>183</v>
      </c>
    </row>
    <row r="34" spans="2:46" ht="34.5" customHeight="1" outlineLevel="1" x14ac:dyDescent="0.4">
      <c r="B34" s="37" t="s">
        <v>235</v>
      </c>
      <c r="C34" s="12" t="s">
        <v>58</v>
      </c>
      <c r="D34" s="13" t="s">
        <v>142</v>
      </c>
      <c r="E34" s="14">
        <v>0</v>
      </c>
      <c r="F34" s="15">
        <v>0</v>
      </c>
      <c r="G34" s="16">
        <v>0</v>
      </c>
      <c r="H34" s="17"/>
      <c r="I34" s="17"/>
      <c r="J34" s="18" t="s">
        <v>32</v>
      </c>
      <c r="K34" s="11">
        <v>1</v>
      </c>
      <c r="L34" s="29">
        <v>81</v>
      </c>
      <c r="M34" s="30" t="s">
        <v>65</v>
      </c>
      <c r="N34" s="45"/>
      <c r="O34" s="33">
        <v>0.05</v>
      </c>
      <c r="P34" s="11">
        <v>1992</v>
      </c>
      <c r="Q34" s="11"/>
      <c r="R34" s="11">
        <v>1</v>
      </c>
      <c r="S34" s="11" t="s">
        <v>171</v>
      </c>
      <c r="T34" s="11">
        <v>81</v>
      </c>
      <c r="U34" s="11" t="s">
        <v>171</v>
      </c>
      <c r="V34" s="11" t="s">
        <v>58</v>
      </c>
      <c r="W34" s="11" t="s">
        <v>58</v>
      </c>
      <c r="X34" s="11">
        <v>2028</v>
      </c>
      <c r="Y34" s="11" t="s">
        <v>233</v>
      </c>
      <c r="Z34" s="11" t="s">
        <v>32</v>
      </c>
      <c r="AA34" s="63" t="s">
        <v>222</v>
      </c>
      <c r="AB34" s="11" t="s">
        <v>82</v>
      </c>
      <c r="AC34" s="23" t="s">
        <v>60</v>
      </c>
      <c r="AD34" s="23" t="s">
        <v>106</v>
      </c>
      <c r="AE34" s="1" t="s">
        <v>143</v>
      </c>
      <c r="AF34" s="27" t="e" vm="2">
        <v>#VALUE!</v>
      </c>
      <c r="AG34" s="36">
        <v>25</v>
      </c>
      <c r="AH34" s="24" t="s">
        <v>38</v>
      </c>
      <c r="AI34" s="25">
        <f>_xlfn.XLOOKUP($P34,'[1]Critieria List'!$L$3:$L$5,'[1]Critieria List'!$K$3:$K$5,,1)</f>
        <v>3</v>
      </c>
      <c r="AJ34" s="25">
        <f>_xlfn.XLOOKUP(O34,'[1]Critieria List'!$C$3:$C$6,'[1]Critieria List'!$B$3:$B$6,,1)</f>
        <v>3</v>
      </c>
      <c r="AK34" s="25">
        <f>_xlfn.XLOOKUP(AD34,'[1]Critieria List'!$F$3:$F$12,'[1]Critieria List'!$E$3:$E$12,,0)</f>
        <v>3</v>
      </c>
      <c r="AL34" s="25"/>
      <c r="AM34" s="26">
        <v>2</v>
      </c>
      <c r="AQ34" s="13" t="s">
        <v>39</v>
      </c>
      <c r="AR34" s="1" t="e">
        <v>#N/A</v>
      </c>
      <c r="AT34" s="48" t="s">
        <v>228</v>
      </c>
    </row>
    <row r="35" spans="2:46" ht="34.5" customHeight="1" outlineLevel="1" x14ac:dyDescent="0.4">
      <c r="B35" s="37" t="s">
        <v>235</v>
      </c>
      <c r="C35" s="12" t="s">
        <v>58</v>
      </c>
      <c r="D35" s="13" t="s">
        <v>144</v>
      </c>
      <c r="E35" s="14">
        <v>0</v>
      </c>
      <c r="F35" s="15">
        <v>0</v>
      </c>
      <c r="G35" s="16">
        <v>0</v>
      </c>
      <c r="H35" s="17"/>
      <c r="I35" s="17"/>
      <c r="J35" s="18" t="s">
        <v>32</v>
      </c>
      <c r="K35" s="11">
        <v>1</v>
      </c>
      <c r="L35" s="29">
        <v>145</v>
      </c>
      <c r="M35" s="30" t="s">
        <v>65</v>
      </c>
      <c r="N35" s="45"/>
      <c r="O35" s="33">
        <v>0.08</v>
      </c>
      <c r="P35" s="11">
        <v>1992</v>
      </c>
      <c r="Q35" s="11"/>
      <c r="R35" s="11"/>
      <c r="S35" s="11"/>
      <c r="T35" s="11"/>
      <c r="U35" s="11"/>
      <c r="V35" s="11"/>
      <c r="W35" s="11"/>
      <c r="X35" s="11"/>
      <c r="Y35" s="11"/>
      <c r="Z35" s="11"/>
      <c r="AA35" s="11"/>
      <c r="AB35" s="11"/>
      <c r="AC35" s="23" t="s">
        <v>60</v>
      </c>
      <c r="AD35" s="23" t="s">
        <v>46</v>
      </c>
      <c r="AE35" s="1" t="s">
        <v>145</v>
      </c>
      <c r="AF35" s="27" t="e" vm="3">
        <v>#VALUE!</v>
      </c>
      <c r="AG35" s="36">
        <v>5</v>
      </c>
      <c r="AH35" s="24"/>
      <c r="AI35" s="25">
        <f>_xlfn.XLOOKUP($P35,'[1]Critieria List'!$L$3:$L$5,'[1]Critieria List'!$K$3:$K$5,,1)</f>
        <v>3</v>
      </c>
      <c r="AJ35" s="25">
        <f>_xlfn.XLOOKUP(O35,'[1]Critieria List'!$C$3:$C$6,'[1]Critieria List'!$B$3:$B$6,,1)</f>
        <v>3</v>
      </c>
      <c r="AK35" s="25">
        <f>_xlfn.XLOOKUP(AD35,'[1]Critieria List'!$F$3:$F$12,'[1]Critieria List'!$E$3:$E$12,,0)</f>
        <v>3</v>
      </c>
      <c r="AL35" s="25"/>
      <c r="AM35" s="26">
        <v>2</v>
      </c>
      <c r="AR35" s="1" t="e">
        <v>#N/A</v>
      </c>
      <c r="AT35" s="48" t="s">
        <v>228</v>
      </c>
    </row>
    <row r="36" spans="2:46" ht="34.5" customHeight="1" x14ac:dyDescent="0.4">
      <c r="B36" s="37" t="s">
        <v>146</v>
      </c>
      <c r="C36" s="12" t="s">
        <v>58</v>
      </c>
      <c r="D36" s="13" t="s">
        <v>147</v>
      </c>
      <c r="E36" s="14"/>
      <c r="F36" s="15">
        <v>2</v>
      </c>
      <c r="G36" s="16">
        <v>0</v>
      </c>
      <c r="H36" s="17"/>
      <c r="I36" s="17"/>
      <c r="J36" s="18" t="s">
        <v>53</v>
      </c>
      <c r="K36" s="11">
        <v>1</v>
      </c>
      <c r="L36" s="29">
        <v>555</v>
      </c>
      <c r="M36" s="30"/>
      <c r="N36" s="21">
        <v>12168</v>
      </c>
      <c r="O36" s="31">
        <v>0.3789393003719847</v>
      </c>
      <c r="P36" s="23" t="s">
        <v>148</v>
      </c>
      <c r="Q36" s="23"/>
      <c r="R36" s="23"/>
      <c r="S36" s="23"/>
      <c r="T36" s="23"/>
      <c r="U36" s="23"/>
      <c r="V36" s="23"/>
      <c r="W36" s="23"/>
      <c r="X36" s="23"/>
      <c r="Y36" s="23"/>
      <c r="Z36" s="23"/>
      <c r="AA36" s="23"/>
      <c r="AB36" s="23"/>
      <c r="AC36" s="23" t="s">
        <v>149</v>
      </c>
      <c r="AD36" s="23" t="s">
        <v>46</v>
      </c>
      <c r="AF36" s="1" t="s">
        <v>150</v>
      </c>
      <c r="AG36" s="24"/>
      <c r="AH36" s="24" t="s">
        <v>38</v>
      </c>
      <c r="AI36" s="27">
        <v>2.5</v>
      </c>
      <c r="AJ36" s="25">
        <f>_xlfn.XLOOKUP(O36,'[1]Critieria List'!$C$3:$C$6,'[1]Critieria List'!$B$3:$B$6,,1)</f>
        <v>1</v>
      </c>
      <c r="AK36" s="25">
        <f>_xlfn.XLOOKUP(AD36,'[1]Critieria List'!$F$3:$F$12,'[1]Critieria List'!$E$3:$E$12,,0)</f>
        <v>3</v>
      </c>
      <c r="AL36" s="25"/>
      <c r="AM36" s="46"/>
      <c r="AN36" s="27">
        <v>0</v>
      </c>
      <c r="AO36" s="27">
        <v>2</v>
      </c>
      <c r="AR36" s="1">
        <v>2</v>
      </c>
      <c r="AS36" s="1" t="s">
        <v>180</v>
      </c>
      <c r="AT36" s="48" t="s">
        <v>183</v>
      </c>
    </row>
    <row r="37" spans="2:46" ht="34.15" customHeight="1" x14ac:dyDescent="0.4">
      <c r="B37" s="37" t="s">
        <v>151</v>
      </c>
      <c r="C37" s="12" t="s">
        <v>152</v>
      </c>
      <c r="D37" s="13" t="s">
        <v>153</v>
      </c>
      <c r="E37" s="14"/>
      <c r="F37" s="15">
        <v>1.9</v>
      </c>
      <c r="G37" s="16">
        <v>0</v>
      </c>
      <c r="H37" s="17"/>
      <c r="I37" s="17"/>
      <c r="J37" s="18" t="s">
        <v>32</v>
      </c>
      <c r="K37" s="23"/>
      <c r="L37" s="19">
        <v>318</v>
      </c>
      <c r="M37" s="20"/>
      <c r="N37" s="21">
        <v>10525</v>
      </c>
      <c r="O37" s="22">
        <v>0.106</v>
      </c>
      <c r="P37" s="11">
        <v>2001</v>
      </c>
      <c r="Q37" s="11"/>
      <c r="R37" s="11"/>
      <c r="S37" s="11"/>
      <c r="T37" s="11"/>
      <c r="U37" s="11"/>
      <c r="V37" s="11"/>
      <c r="W37" s="11"/>
      <c r="X37" s="11"/>
      <c r="Y37" s="11"/>
      <c r="Z37" s="11"/>
      <c r="AA37" s="11"/>
      <c r="AB37" s="11"/>
      <c r="AC37" s="23" t="s">
        <v>154</v>
      </c>
      <c r="AD37" s="23" t="s">
        <v>46</v>
      </c>
      <c r="AG37" s="24"/>
      <c r="AH37" s="24" t="s">
        <v>38</v>
      </c>
      <c r="AI37" s="25">
        <f>_xlfn.XLOOKUP($P37,'[1]Critieria List'!$L$3:$L$5,'[1]Critieria List'!$K$3:$K$5,,1)</f>
        <v>2</v>
      </c>
      <c r="AJ37" s="25">
        <f>_xlfn.XLOOKUP(O37,'[1]Critieria List'!$C$3:$C$6,'[1]Critieria List'!$B$3:$B$6,,1)</f>
        <v>2</v>
      </c>
      <c r="AK37" s="25">
        <f>_xlfn.XLOOKUP(AD37,'[1]Critieria List'!$F$3:$F$12,'[1]Critieria List'!$E$3:$E$12,,0)</f>
        <v>3</v>
      </c>
      <c r="AL37" s="25"/>
      <c r="AM37" s="46"/>
      <c r="AR37" s="1">
        <v>2</v>
      </c>
      <c r="AS37" s="1" t="s">
        <v>180</v>
      </c>
      <c r="AT37" s="48" t="s">
        <v>183</v>
      </c>
    </row>
    <row r="38" spans="2:46" ht="34.5" customHeight="1" x14ac:dyDescent="0.4">
      <c r="B38" s="37" t="s">
        <v>151</v>
      </c>
      <c r="C38" s="12" t="s">
        <v>152</v>
      </c>
      <c r="D38" s="13" t="s">
        <v>155</v>
      </c>
      <c r="E38" s="14"/>
      <c r="F38" s="15">
        <v>1.9</v>
      </c>
      <c r="G38" s="16">
        <v>0</v>
      </c>
      <c r="H38" s="17"/>
      <c r="I38" s="17"/>
      <c r="J38" s="18" t="s">
        <v>32</v>
      </c>
      <c r="K38" s="23"/>
      <c r="L38" s="19">
        <v>263</v>
      </c>
      <c r="M38" s="20"/>
      <c r="N38" s="21">
        <v>10525</v>
      </c>
      <c r="O38" s="22">
        <v>7.5999999999999998E-2</v>
      </c>
      <c r="P38" s="11">
        <v>2001</v>
      </c>
      <c r="Q38" s="11"/>
      <c r="R38" s="11"/>
      <c r="S38" s="11"/>
      <c r="T38" s="11"/>
      <c r="U38" s="11"/>
      <c r="V38" s="11"/>
      <c r="W38" s="11"/>
      <c r="X38" s="11"/>
      <c r="Y38" s="11"/>
      <c r="Z38" s="11"/>
      <c r="AA38" s="11"/>
      <c r="AB38" s="11"/>
      <c r="AC38" s="23" t="s">
        <v>154</v>
      </c>
      <c r="AD38" s="23" t="s">
        <v>46</v>
      </c>
      <c r="AG38" s="24"/>
      <c r="AH38" s="24" t="s">
        <v>38</v>
      </c>
      <c r="AI38" s="25">
        <f>_xlfn.XLOOKUP($P38,'[1]Critieria List'!$L$3:$L$5,'[1]Critieria List'!$K$3:$K$5,,1)</f>
        <v>2</v>
      </c>
      <c r="AJ38" s="1"/>
      <c r="AK38" s="25">
        <f>_xlfn.XLOOKUP(AD38,'[1]Critieria List'!$F$3:$F$12,'[1]Critieria List'!$E$3:$E$12,,0)</f>
        <v>3</v>
      </c>
      <c r="AL38" s="25"/>
      <c r="AM38" s="46"/>
      <c r="AR38" s="1">
        <v>2</v>
      </c>
      <c r="AS38" s="1" t="s">
        <v>180</v>
      </c>
      <c r="AT38" s="48" t="s">
        <v>183</v>
      </c>
    </row>
    <row r="39" spans="2:46" ht="34.5" customHeight="1" x14ac:dyDescent="0.4">
      <c r="B39" s="37" t="s">
        <v>156</v>
      </c>
      <c r="C39" s="12" t="s">
        <v>157</v>
      </c>
      <c r="D39" s="13" t="s">
        <v>158</v>
      </c>
      <c r="E39" s="14"/>
      <c r="F39" s="15">
        <v>0</v>
      </c>
      <c r="G39" s="16">
        <v>0</v>
      </c>
      <c r="H39" s="17"/>
      <c r="I39" s="17"/>
      <c r="J39" s="18"/>
      <c r="K39" s="23"/>
      <c r="L39" s="20"/>
      <c r="M39" s="20"/>
      <c r="N39" s="45"/>
      <c r="O39" s="22">
        <v>0.185</v>
      </c>
      <c r="P39" s="11">
        <v>2015</v>
      </c>
      <c r="Q39" s="11"/>
      <c r="R39" s="11"/>
      <c r="S39" s="11"/>
      <c r="T39" s="11"/>
      <c r="U39" s="11"/>
      <c r="V39" s="11"/>
      <c r="W39" s="11"/>
      <c r="X39" s="11"/>
      <c r="Y39" s="11"/>
      <c r="Z39" s="11"/>
      <c r="AA39" s="11"/>
      <c r="AB39" s="11"/>
      <c r="AC39" s="23" t="s">
        <v>159</v>
      </c>
      <c r="AD39" s="23" t="s">
        <v>35</v>
      </c>
      <c r="AG39" s="24"/>
      <c r="AH39" s="24" t="s">
        <v>38</v>
      </c>
      <c r="AI39" s="25">
        <f>_xlfn.XLOOKUP($P39,'[1]Critieria List'!$L$3:$L$5,'[1]Critieria List'!$K$3:$K$5,,1)</f>
        <v>1</v>
      </c>
      <c r="AJ39" s="25">
        <f>_xlfn.XLOOKUP(O39,'[1]Critieria List'!$C$3:$C$6,'[1]Critieria List'!$B$3:$B$6,,1)</f>
        <v>2</v>
      </c>
      <c r="AK39" s="25">
        <f>_xlfn.XLOOKUP(AD39,'[1]Critieria List'!$F$3:$F$12,'[1]Critieria List'!$E$3:$E$12,,0)</f>
        <v>3</v>
      </c>
      <c r="AL39" s="25"/>
      <c r="AM39" s="46"/>
      <c r="AR39" s="1" t="e">
        <v>#N/A</v>
      </c>
      <c r="AS39" s="1" t="s">
        <v>181</v>
      </c>
      <c r="AT39" s="48" t="s">
        <v>183</v>
      </c>
    </row>
    <row r="40" spans="2:46" ht="34.5" customHeight="1" x14ac:dyDescent="0.4">
      <c r="B40" s="39" t="s">
        <v>160</v>
      </c>
      <c r="C40" s="12"/>
      <c r="D40" s="13" t="s">
        <v>161</v>
      </c>
      <c r="E40" s="14"/>
      <c r="F40" s="15">
        <v>2.4</v>
      </c>
      <c r="G40" s="16">
        <v>0</v>
      </c>
      <c r="H40" s="17"/>
      <c r="I40" s="17"/>
      <c r="J40" s="18" t="s">
        <v>32</v>
      </c>
      <c r="K40" s="11">
        <v>1</v>
      </c>
      <c r="L40" s="29">
        <v>626</v>
      </c>
      <c r="M40" s="30"/>
      <c r="N40" s="35">
        <v>11500</v>
      </c>
      <c r="O40" s="31">
        <v>0.28499999999999998</v>
      </c>
      <c r="P40" s="11">
        <v>1954</v>
      </c>
      <c r="Q40" s="11"/>
      <c r="R40" s="11"/>
      <c r="S40" s="11"/>
      <c r="T40" s="11"/>
      <c r="U40" s="11"/>
      <c r="V40" s="11"/>
      <c r="W40" s="11"/>
      <c r="X40" s="11"/>
      <c r="Y40" s="11"/>
      <c r="Z40" s="11"/>
      <c r="AA40" s="11"/>
      <c r="AB40" s="11"/>
      <c r="AC40" s="23" t="s">
        <v>162</v>
      </c>
      <c r="AD40" s="23" t="s">
        <v>46</v>
      </c>
      <c r="AF40" s="1" t="s">
        <v>163</v>
      </c>
      <c r="AH40" s="24" t="s">
        <v>38</v>
      </c>
      <c r="AI40" s="25">
        <f>_xlfn.XLOOKUP($P40,'[1]Critieria List'!$L$3:$L$5,'[1]Critieria List'!$K$3:$K$5,,1)</f>
        <v>3</v>
      </c>
      <c r="AJ40" s="25">
        <f>_xlfn.XLOOKUP(O40,'[1]Critieria List'!$C$3:$C$6,'[1]Critieria List'!$B$3:$B$6,,1)</f>
        <v>1</v>
      </c>
      <c r="AK40" s="25">
        <f>_xlfn.XLOOKUP(AD40,'[1]Critieria List'!$F$3:$F$12,'[1]Critieria List'!$E$3:$E$12,,0)</f>
        <v>3</v>
      </c>
      <c r="AL40" s="25"/>
      <c r="AM40" s="46"/>
      <c r="AR40" s="1">
        <v>3</v>
      </c>
      <c r="AS40" s="1" t="s">
        <v>182</v>
      </c>
      <c r="AT40" s="48" t="s">
        <v>183</v>
      </c>
    </row>
    <row r="41" spans="2:46" ht="34.5" customHeight="1" x14ac:dyDescent="0.4">
      <c r="B41" s="37" t="s">
        <v>160</v>
      </c>
      <c r="C41" s="12"/>
      <c r="D41" s="13" t="s">
        <v>164</v>
      </c>
      <c r="E41" s="14"/>
      <c r="F41" s="15">
        <v>2.4</v>
      </c>
      <c r="G41" s="16">
        <v>0</v>
      </c>
      <c r="H41" s="17"/>
      <c r="I41" s="17"/>
      <c r="J41" s="18" t="s">
        <v>32</v>
      </c>
      <c r="K41" s="11">
        <v>1</v>
      </c>
      <c r="L41" s="29">
        <v>348</v>
      </c>
      <c r="M41" s="30"/>
      <c r="N41" s="35">
        <v>11700</v>
      </c>
      <c r="O41" s="33">
        <v>0.01</v>
      </c>
      <c r="P41" s="23">
        <v>1955</v>
      </c>
      <c r="Q41" s="23"/>
      <c r="R41" s="23"/>
      <c r="S41" s="23"/>
      <c r="T41" s="23"/>
      <c r="U41" s="23"/>
      <c r="V41" s="23"/>
      <c r="W41" s="23"/>
      <c r="X41" s="23"/>
      <c r="Y41" s="23"/>
      <c r="Z41" s="23"/>
      <c r="AA41" s="23"/>
      <c r="AB41" s="23"/>
      <c r="AC41" s="23" t="s">
        <v>162</v>
      </c>
      <c r="AD41" s="23" t="s">
        <v>46</v>
      </c>
      <c r="AF41" s="1" t="s">
        <v>165</v>
      </c>
      <c r="AH41" s="24" t="s">
        <v>38</v>
      </c>
      <c r="AI41" s="25">
        <f>_xlfn.XLOOKUP($P41,'[1]Critieria List'!$L$3:$L$5,'[1]Critieria List'!$K$3:$K$5,,1)</f>
        <v>3</v>
      </c>
      <c r="AJ41" s="25">
        <f>_xlfn.XLOOKUP(O41,'[1]Critieria List'!$C$3:$C$6,'[1]Critieria List'!$B$3:$B$6,,1)</f>
        <v>3</v>
      </c>
      <c r="AK41" s="25">
        <f>_xlfn.XLOOKUP(AD41,'[1]Critieria List'!$F$3:$F$12,'[1]Critieria List'!$E$3:$E$12,,0)</f>
        <v>3</v>
      </c>
      <c r="AL41" s="25"/>
      <c r="AM41" s="46"/>
      <c r="AR41" s="1">
        <v>3</v>
      </c>
      <c r="AS41" s="1" t="s">
        <v>182</v>
      </c>
      <c r="AT41" s="48" t="s">
        <v>183</v>
      </c>
    </row>
    <row r="42" spans="2:46" ht="34.5" customHeight="1" x14ac:dyDescent="0.4">
      <c r="B42" s="50" t="s">
        <v>160</v>
      </c>
      <c r="C42" s="51"/>
      <c r="D42" s="52" t="s">
        <v>166</v>
      </c>
      <c r="E42" s="53"/>
      <c r="F42" s="54">
        <v>2.4</v>
      </c>
      <c r="G42" s="55">
        <v>0</v>
      </c>
      <c r="H42" s="56"/>
      <c r="I42" s="56"/>
      <c r="J42" s="57" t="s">
        <v>32</v>
      </c>
      <c r="K42" s="58">
        <v>1</v>
      </c>
      <c r="L42" s="59">
        <v>54</v>
      </c>
      <c r="M42" s="60"/>
      <c r="N42" s="61"/>
      <c r="O42" s="62">
        <v>0.01</v>
      </c>
      <c r="P42" s="58">
        <v>1972</v>
      </c>
      <c r="Q42" s="58"/>
      <c r="R42" s="58"/>
      <c r="S42" s="58"/>
      <c r="T42" s="58"/>
      <c r="U42" s="58"/>
      <c r="V42" s="58"/>
      <c r="W42" s="58"/>
      <c r="X42" s="58"/>
      <c r="Y42" s="58"/>
      <c r="Z42" s="58"/>
      <c r="AA42" s="58"/>
      <c r="AB42" s="58"/>
      <c r="AC42" s="61" t="s">
        <v>162</v>
      </c>
      <c r="AD42" s="61" t="s">
        <v>46</v>
      </c>
      <c r="AF42" s="1" t="s">
        <v>167</v>
      </c>
      <c r="AH42" s="24" t="s">
        <v>38</v>
      </c>
      <c r="AI42" s="25">
        <f>_xlfn.XLOOKUP($P42,'[1]Critieria List'!$L$3:$L$5,'[1]Critieria List'!$K$3:$K$5,,1)</f>
        <v>3</v>
      </c>
      <c r="AJ42" s="25">
        <f>_xlfn.XLOOKUP(O42,'[1]Critieria List'!$C$3:$C$6,'[1]Critieria List'!$B$3:$B$6,,1)</f>
        <v>3</v>
      </c>
      <c r="AK42" s="25">
        <f>_xlfn.XLOOKUP(AD42,'[1]Critieria List'!$F$3:$F$12,'[1]Critieria List'!$E$3:$E$12,,0)</f>
        <v>3</v>
      </c>
      <c r="AL42" s="25"/>
      <c r="AM42" s="46"/>
      <c r="AR42" s="1">
        <v>3</v>
      </c>
      <c r="AS42" s="1" t="s">
        <v>182</v>
      </c>
      <c r="AT42" s="48" t="s">
        <v>183</v>
      </c>
    </row>
    <row r="43" spans="2:46" ht="23" x14ac:dyDescent="0.35">
      <c r="B43" s="63" t="s">
        <v>205</v>
      </c>
      <c r="C43" s="63" t="s">
        <v>230</v>
      </c>
      <c r="D43" s="63" t="s">
        <v>225</v>
      </c>
      <c r="E43" s="63">
        <v>3.65</v>
      </c>
      <c r="F43" s="63">
        <v>4</v>
      </c>
      <c r="G43" s="63"/>
      <c r="H43" s="63"/>
      <c r="I43" s="63"/>
      <c r="J43" s="63"/>
      <c r="K43" s="23">
        <v>1</v>
      </c>
      <c r="L43" s="23"/>
      <c r="M43" s="63"/>
      <c r="N43" s="63"/>
      <c r="O43" s="63"/>
      <c r="P43" s="63"/>
      <c r="Q43" s="23"/>
      <c r="R43" s="23">
        <v>0</v>
      </c>
      <c r="S43" s="63" t="s">
        <v>175</v>
      </c>
      <c r="T43" s="63">
        <v>150</v>
      </c>
      <c r="U43" s="63" t="s">
        <v>206</v>
      </c>
      <c r="V43" s="63" t="s">
        <v>38</v>
      </c>
      <c r="W43" s="63"/>
      <c r="X43" s="63">
        <v>2028</v>
      </c>
      <c r="Y43" s="63" t="s">
        <v>233</v>
      </c>
      <c r="Z43" s="63">
        <v>3</v>
      </c>
      <c r="AA43" s="63" t="s">
        <v>221</v>
      </c>
      <c r="AB43" s="63" t="s">
        <v>227</v>
      </c>
      <c r="AC43" s="63"/>
      <c r="AD43" s="63" t="s">
        <v>207</v>
      </c>
      <c r="AE43" s="63" t="s">
        <v>208</v>
      </c>
      <c r="AF43" s="63" t="s">
        <v>208</v>
      </c>
      <c r="AG43" s="63">
        <v>60</v>
      </c>
      <c r="AH43" s="23"/>
      <c r="AI43" s="23"/>
      <c r="AJ43" s="63" t="s">
        <v>207</v>
      </c>
      <c r="AK43" s="63"/>
      <c r="AL43" s="63"/>
      <c r="AM43" s="63"/>
      <c r="AN43" s="63"/>
      <c r="AO43" s="63"/>
      <c r="AP43" s="23"/>
      <c r="AQ43" s="13" t="s">
        <v>39</v>
      </c>
      <c r="AR43" s="63">
        <v>4</v>
      </c>
      <c r="AS43" s="63" t="s">
        <v>182</v>
      </c>
      <c r="AT43" s="63" t="s">
        <v>204</v>
      </c>
    </row>
    <row r="44" spans="2:46" ht="23" x14ac:dyDescent="0.35">
      <c r="B44" s="63" t="s">
        <v>205</v>
      </c>
      <c r="C44" s="63" t="s">
        <v>226</v>
      </c>
      <c r="D44" s="63" t="s">
        <v>226</v>
      </c>
      <c r="E44" s="63">
        <v>3.65</v>
      </c>
      <c r="F44" s="63">
        <v>4</v>
      </c>
      <c r="G44" s="63"/>
      <c r="H44" s="63"/>
      <c r="I44" s="63"/>
      <c r="J44" s="63"/>
      <c r="K44" s="23"/>
      <c r="L44" s="23"/>
      <c r="M44" s="63"/>
      <c r="N44" s="63"/>
      <c r="O44" s="63"/>
      <c r="P44" s="63"/>
      <c r="Q44" s="23"/>
      <c r="R44" s="23">
        <v>0</v>
      </c>
      <c r="S44" s="63" t="s">
        <v>195</v>
      </c>
      <c r="T44" s="63">
        <v>300</v>
      </c>
      <c r="U44" s="63" t="s">
        <v>224</v>
      </c>
      <c r="V44" s="63" t="s">
        <v>58</v>
      </c>
      <c r="W44" s="63"/>
      <c r="X44" s="63">
        <v>2028</v>
      </c>
      <c r="Y44" s="63" t="s">
        <v>233</v>
      </c>
      <c r="Z44" s="63">
        <v>3</v>
      </c>
      <c r="AA44" s="63" t="s">
        <v>221</v>
      </c>
      <c r="AB44" s="63" t="s">
        <v>227</v>
      </c>
      <c r="AC44" s="63"/>
      <c r="AD44" s="63" t="s">
        <v>207</v>
      </c>
      <c r="AE44" s="63" t="s">
        <v>208</v>
      </c>
      <c r="AF44" s="63" t="s">
        <v>208</v>
      </c>
      <c r="AG44" s="63">
        <v>60</v>
      </c>
      <c r="AH44" s="23"/>
      <c r="AI44" s="23"/>
      <c r="AJ44" s="63" t="s">
        <v>207</v>
      </c>
      <c r="AK44" s="63"/>
      <c r="AL44" s="63"/>
      <c r="AM44" s="63"/>
      <c r="AN44" s="63"/>
      <c r="AO44" s="63"/>
      <c r="AP44" s="23"/>
      <c r="AQ44" s="13" t="s">
        <v>39</v>
      </c>
      <c r="AR44" s="63">
        <v>4</v>
      </c>
      <c r="AS44" s="63" t="s">
        <v>182</v>
      </c>
      <c r="AT44" s="63" t="s">
        <v>204</v>
      </c>
    </row>
    <row r="45" spans="2:46" ht="23" x14ac:dyDescent="0.35">
      <c r="B45" s="63" t="s">
        <v>209</v>
      </c>
      <c r="C45" s="63" t="s">
        <v>210</v>
      </c>
      <c r="D45" s="63" t="s">
        <v>91</v>
      </c>
      <c r="E45" s="63"/>
      <c r="F45" s="63"/>
      <c r="G45" s="63"/>
      <c r="H45" s="63"/>
      <c r="I45" s="63"/>
      <c r="J45" s="63"/>
      <c r="K45" s="23"/>
      <c r="L45" s="23"/>
      <c r="M45" s="63"/>
      <c r="N45" s="63"/>
      <c r="O45" s="63"/>
      <c r="P45" s="63"/>
      <c r="Q45" s="23"/>
      <c r="R45" s="23">
        <v>0</v>
      </c>
      <c r="S45" s="63" t="s">
        <v>171</v>
      </c>
      <c r="T45" s="63">
        <v>440</v>
      </c>
      <c r="U45" s="63" t="s">
        <v>171</v>
      </c>
      <c r="V45" s="63"/>
      <c r="W45" s="63"/>
      <c r="X45" s="63">
        <v>2029</v>
      </c>
      <c r="Y45" s="63" t="s">
        <v>233</v>
      </c>
      <c r="Z45" s="63">
        <v>3</v>
      </c>
      <c r="AA45" s="63" t="s">
        <v>221</v>
      </c>
      <c r="AB45" s="63"/>
      <c r="AC45" s="63" t="s">
        <v>211</v>
      </c>
      <c r="AD45" s="63" t="s">
        <v>106</v>
      </c>
      <c r="AE45" s="63" t="s">
        <v>212</v>
      </c>
      <c r="AF45" s="63" t="s">
        <v>212</v>
      </c>
      <c r="AG45" s="63">
        <v>140</v>
      </c>
      <c r="AH45" s="23"/>
      <c r="AI45" s="23"/>
      <c r="AJ45" s="63" t="s">
        <v>106</v>
      </c>
      <c r="AK45" s="63"/>
      <c r="AL45" s="63"/>
      <c r="AM45" s="63"/>
      <c r="AN45" s="63"/>
      <c r="AO45" s="63"/>
      <c r="AP45" s="23"/>
      <c r="AQ45" s="13" t="s">
        <v>39</v>
      </c>
      <c r="AR45" s="63"/>
      <c r="AS45" s="63" t="s">
        <v>180</v>
      </c>
      <c r="AT45" s="63" t="s">
        <v>204</v>
      </c>
    </row>
    <row r="46" spans="2:46" ht="41" customHeight="1" x14ac:dyDescent="0.35">
      <c r="B46" s="63" t="s">
        <v>137</v>
      </c>
      <c r="C46" s="63" t="s">
        <v>190</v>
      </c>
      <c r="D46" s="63" t="s">
        <v>213</v>
      </c>
      <c r="E46" s="63"/>
      <c r="F46" s="63"/>
      <c r="G46" s="63"/>
      <c r="H46" s="63"/>
      <c r="I46" s="63"/>
      <c r="J46" s="63"/>
      <c r="K46" s="63"/>
      <c r="L46" s="23"/>
      <c r="M46" s="63"/>
      <c r="N46" s="63"/>
      <c r="O46" s="63"/>
      <c r="P46" s="63"/>
      <c r="Q46" s="23"/>
      <c r="R46" s="23">
        <v>3</v>
      </c>
      <c r="S46" s="63" t="s">
        <v>194</v>
      </c>
      <c r="T46" s="63"/>
      <c r="U46" s="63" t="s">
        <v>82</v>
      </c>
      <c r="V46" s="63" t="s">
        <v>82</v>
      </c>
      <c r="W46" s="63" t="s">
        <v>82</v>
      </c>
      <c r="X46" s="63" t="s">
        <v>82</v>
      </c>
      <c r="Y46" s="63" t="s">
        <v>234</v>
      </c>
      <c r="Z46" s="63">
        <v>0</v>
      </c>
      <c r="AA46" s="63" t="s">
        <v>221</v>
      </c>
      <c r="AB46" s="63"/>
      <c r="AC46" s="63" t="s">
        <v>197</v>
      </c>
      <c r="AD46" s="63" t="s">
        <v>198</v>
      </c>
      <c r="AE46" s="63" t="s">
        <v>82</v>
      </c>
      <c r="AF46" s="63" t="s">
        <v>199</v>
      </c>
      <c r="AG46" s="63" t="s">
        <v>82</v>
      </c>
      <c r="AH46" s="23"/>
      <c r="AI46" s="23"/>
      <c r="AJ46" s="63" t="s">
        <v>198</v>
      </c>
      <c r="AK46" s="63"/>
      <c r="AL46" s="63"/>
      <c r="AM46" s="63"/>
      <c r="AN46" s="63"/>
      <c r="AO46" s="63"/>
      <c r="AP46" s="23"/>
      <c r="AQ46" s="13" t="s">
        <v>39</v>
      </c>
      <c r="AR46" s="63"/>
      <c r="AS46" s="63" t="s">
        <v>182</v>
      </c>
      <c r="AT46" s="63" t="s">
        <v>204</v>
      </c>
    </row>
    <row r="47" spans="2:46" ht="23" x14ac:dyDescent="0.35">
      <c r="B47" s="63" t="s">
        <v>188</v>
      </c>
      <c r="C47" s="63" t="s">
        <v>192</v>
      </c>
      <c r="D47" s="63" t="s">
        <v>192</v>
      </c>
      <c r="E47" s="63"/>
      <c r="F47" s="63"/>
      <c r="G47" s="63"/>
      <c r="H47" s="63"/>
      <c r="I47" s="63"/>
      <c r="J47" s="63"/>
      <c r="K47" s="63"/>
      <c r="L47" s="23"/>
      <c r="M47" s="63"/>
      <c r="N47" s="63"/>
      <c r="O47" s="63"/>
      <c r="P47" s="63"/>
      <c r="Q47" s="23"/>
      <c r="R47" s="23"/>
      <c r="S47" s="63" t="s">
        <v>194</v>
      </c>
      <c r="T47" s="63"/>
      <c r="U47" s="63" t="s">
        <v>82</v>
      </c>
      <c r="V47" s="63" t="s">
        <v>82</v>
      </c>
      <c r="W47" s="63" t="s">
        <v>82</v>
      </c>
      <c r="X47" s="63" t="s">
        <v>82</v>
      </c>
      <c r="Y47" s="63" t="s">
        <v>234</v>
      </c>
      <c r="Z47" s="63">
        <v>0</v>
      </c>
      <c r="AA47" s="63" t="s">
        <v>222</v>
      </c>
      <c r="AB47" s="63"/>
      <c r="AC47" s="63" t="s">
        <v>82</v>
      </c>
      <c r="AD47" s="63" t="s">
        <v>202</v>
      </c>
      <c r="AE47" s="63" t="s">
        <v>203</v>
      </c>
      <c r="AF47" s="63" t="s">
        <v>203</v>
      </c>
      <c r="AG47" s="63" t="s">
        <v>82</v>
      </c>
      <c r="AH47" s="23"/>
      <c r="AI47" s="23"/>
      <c r="AJ47" s="63" t="s">
        <v>202</v>
      </c>
      <c r="AK47" s="63"/>
      <c r="AL47" s="63"/>
      <c r="AM47" s="63"/>
      <c r="AN47" s="63"/>
      <c r="AO47" s="63"/>
      <c r="AP47" s="23"/>
      <c r="AQ47" s="13" t="s">
        <v>39</v>
      </c>
      <c r="AR47" s="63"/>
      <c r="AS47" s="63" t="s">
        <v>182</v>
      </c>
      <c r="AT47" s="63" t="s">
        <v>204</v>
      </c>
    </row>
    <row r="48" spans="2:46" x14ac:dyDescent="0.35">
      <c r="B48" s="63" t="s">
        <v>189</v>
      </c>
      <c r="C48" s="63" t="s">
        <v>193</v>
      </c>
      <c r="D48" s="63" t="s">
        <v>193</v>
      </c>
      <c r="E48" s="63"/>
      <c r="F48" s="63"/>
      <c r="G48" s="63"/>
      <c r="H48" s="63"/>
      <c r="I48" s="63"/>
      <c r="J48" s="63"/>
      <c r="K48" s="63"/>
      <c r="L48" s="23"/>
      <c r="M48" s="63"/>
      <c r="N48" s="63"/>
      <c r="O48" s="63"/>
      <c r="P48" s="63"/>
      <c r="Q48" s="23"/>
      <c r="R48" s="23"/>
      <c r="S48" s="63"/>
      <c r="T48" s="63"/>
      <c r="U48" s="63"/>
      <c r="V48" s="63"/>
      <c r="W48" s="63"/>
      <c r="X48" s="63"/>
      <c r="Y48" s="63"/>
      <c r="Z48" s="63"/>
      <c r="AA48" s="63" t="s">
        <v>222</v>
      </c>
      <c r="AB48" s="63"/>
      <c r="AC48" s="63"/>
      <c r="AD48" s="63"/>
      <c r="AE48" s="63"/>
      <c r="AF48" s="63"/>
      <c r="AG48" s="63"/>
      <c r="AH48" s="23"/>
      <c r="AI48" s="23"/>
      <c r="AJ48" s="63"/>
      <c r="AK48" s="63"/>
      <c r="AL48" s="63"/>
      <c r="AM48" s="63"/>
      <c r="AN48" s="63"/>
      <c r="AO48" s="63"/>
      <c r="AP48" s="23"/>
      <c r="AQ48" s="13" t="s">
        <v>39</v>
      </c>
      <c r="AR48" s="63"/>
      <c r="AS48" s="63"/>
      <c r="AT48" s="63" t="s">
        <v>204</v>
      </c>
    </row>
    <row r="49" spans="2:46" ht="23" x14ac:dyDescent="0.35">
      <c r="B49" s="63" t="s">
        <v>187</v>
      </c>
      <c r="C49" s="63" t="s">
        <v>214</v>
      </c>
      <c r="D49" s="63" t="s">
        <v>191</v>
      </c>
      <c r="E49" s="63">
        <v>2.5499999999999998</v>
      </c>
      <c r="F49" s="63">
        <v>2</v>
      </c>
      <c r="G49" s="63">
        <v>3</v>
      </c>
      <c r="H49" s="63"/>
      <c r="I49" s="63">
        <v>2</v>
      </c>
      <c r="J49" s="63"/>
      <c r="K49" s="23"/>
      <c r="L49" s="23"/>
      <c r="M49" s="63"/>
      <c r="N49" s="63"/>
      <c r="O49" s="63"/>
      <c r="P49" s="63"/>
      <c r="Q49" s="23"/>
      <c r="R49" s="23"/>
      <c r="S49" s="63" t="s">
        <v>195</v>
      </c>
      <c r="T49" s="63">
        <v>300</v>
      </c>
      <c r="U49" s="63" t="s">
        <v>82</v>
      </c>
      <c r="V49" s="63" t="s">
        <v>82</v>
      </c>
      <c r="W49" s="63"/>
      <c r="X49" s="63" t="s">
        <v>196</v>
      </c>
      <c r="Y49" s="63" t="s">
        <v>234</v>
      </c>
      <c r="Z49" s="63">
        <v>1</v>
      </c>
      <c r="AA49" s="63" t="s">
        <v>222</v>
      </c>
      <c r="AB49" s="63"/>
      <c r="AC49" s="63" t="s">
        <v>187</v>
      </c>
      <c r="AD49" s="63" t="s">
        <v>200</v>
      </c>
      <c r="AE49" s="63" t="s">
        <v>201</v>
      </c>
      <c r="AF49" s="63" t="s">
        <v>201</v>
      </c>
      <c r="AG49" s="63">
        <v>600</v>
      </c>
      <c r="AH49" s="23"/>
      <c r="AI49" s="23"/>
      <c r="AJ49" s="63" t="s">
        <v>200</v>
      </c>
      <c r="AK49" s="63"/>
      <c r="AL49" s="63"/>
      <c r="AM49" s="63"/>
      <c r="AN49" s="63"/>
      <c r="AO49" s="63"/>
      <c r="AP49" s="23"/>
      <c r="AQ49" s="13" t="s">
        <v>39</v>
      </c>
      <c r="AR49" s="63">
        <v>2</v>
      </c>
      <c r="AS49" s="63" t="s">
        <v>180</v>
      </c>
      <c r="AT49" s="63" t="s">
        <v>204</v>
      </c>
    </row>
    <row r="50" spans="2:46" x14ac:dyDescent="0.35">
      <c r="AL50"/>
      <c r="AM50"/>
      <c r="AN50"/>
      <c r="AO50"/>
      <c r="AP50"/>
      <c r="AQ50"/>
      <c r="AR50"/>
      <c r="AS50"/>
      <c r="AT50"/>
    </row>
  </sheetData>
  <protectedRanges>
    <protectedRange algorithmName="SHA-512" hashValue="lq/sgrXtNGaEijPJBABrCtkppqUjS98h9Y3WwpQQzn2nsDphoJ+LLOEbE8+cW18NcOLtZQnPFbiArLmZCEiwYw==" saltValue="El5xoxQl6xI7KOe95l6Nvw==" spinCount="100000" sqref="E2:E42" name="NonOpBESSorRenew Table_2" securityDescriptor="O:WDG:WDD:(A;;CC;;;WD)"/>
  </protectedRanges>
  <conditionalFormatting sqref="E2:E42">
    <cfRule type="colorScale" priority="3">
      <colorScale>
        <cfvo type="min"/>
        <cfvo type="percentile" val="50"/>
        <cfvo type="max"/>
        <color rgb="FFF8696B"/>
        <color rgb="FFFFEB84"/>
        <color rgb="FF63BE7B"/>
      </colorScale>
    </cfRule>
  </conditionalFormatting>
  <conditionalFormatting sqref="E50:E1048576">
    <cfRule type="colorScale" priority="7">
      <colorScale>
        <cfvo type="min"/>
        <cfvo type="percentile" val="50"/>
        <cfvo type="max"/>
        <color rgb="FFF8696B"/>
        <color rgb="FFFFEB84"/>
        <color rgb="FF63BE7B"/>
      </colorScale>
    </cfRule>
  </conditionalFormatting>
  <conditionalFormatting sqref="F2:F42">
    <cfRule type="colorScale" priority="2">
      <colorScale>
        <cfvo type="min"/>
        <cfvo type="percentile" val="50"/>
        <cfvo type="max"/>
        <color rgb="FFF8696B"/>
        <color rgb="FFFFEB84"/>
        <color rgb="FF63BE7B"/>
      </colorScale>
    </cfRule>
  </conditionalFormatting>
  <conditionalFormatting sqref="G2:G42">
    <cfRule type="colorScale" priority="1">
      <colorScale>
        <cfvo type="min"/>
        <cfvo type="percentile" val="50"/>
        <cfvo type="max"/>
        <color rgb="FFF8696B"/>
        <color rgb="FFFFEB84"/>
        <color rgb="FF63BE7B"/>
      </colorScale>
    </cfRule>
  </conditionalFormatting>
  <conditionalFormatting sqref="AI2:AM42">
    <cfRule type="colorScale" priority="25">
      <colorScale>
        <cfvo type="min"/>
        <cfvo type="percentile" val="50"/>
        <cfvo type="max"/>
        <color rgb="FFF8696B"/>
        <color rgb="FFFFEB84"/>
        <color rgb="FF63BE7B"/>
      </colorScale>
    </cfRule>
  </conditionalFormatting>
  <conditionalFormatting sqref="AN50:AP1048576 AN2:AP42">
    <cfRule type="colorScale" priority="4">
      <colorScale>
        <cfvo type="min"/>
        <cfvo type="percentile" val="50"/>
        <cfvo type="max"/>
        <color rgb="FFF8696B"/>
        <color rgb="FFFFEB84"/>
        <color rgb="FF63BE7B"/>
      </colorScale>
    </cfRule>
  </conditionalFormatting>
  <hyperlinks>
    <hyperlink ref="D11" location="'Alliance Energy Group'!A1" display="Alliance NY Portfolio" xr:uid="{ED691950-9763-4B0F-A91D-94184AAD6C98}"/>
  </hyperlinks>
  <pageMargins left="0.7" right="0.7" top="0.75" bottom="0.75" header="0.3" footer="0.3"/>
  <pageSetup orientation="portrait" horizontalDpi="4294967292"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Olaleye, Abigail O.</dc:creator>
  <cp:lastModifiedBy>Olawumi Oladimeji</cp:lastModifiedBy>
  <dcterms:created xsi:type="dcterms:W3CDTF">2025-12-10T16:19:30Z</dcterms:created>
  <dcterms:modified xsi:type="dcterms:W3CDTF">2026-01-14T01:42:56Z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2025-12-10T16:56:47Z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e8db3838-8f8d-48ae-a9a9-d2ded3891729</vt:lpwstr>
  </property>
  <property fmtid="{D5CDD505-2E9C-101B-9397-08002B2CF9AE}" pid="7" name="MSIP_Label_defa4170-0d19-0005-0004-bc88714345d2_ActionId">
    <vt:lpwstr>daa1b194-9088-43e4-bec5-cadb24503a1f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